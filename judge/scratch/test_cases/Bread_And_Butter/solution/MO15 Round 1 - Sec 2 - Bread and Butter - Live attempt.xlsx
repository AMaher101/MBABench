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40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e12e3b1fca6b2bc/Desktop/Excel/Videos/2023-04 3 MO15 R1 Q2/"/>
    </mc:Choice>
  </mc:AlternateContent>
  <xr:revisionPtr revIDLastSave="334" documentId="11_3FDB87070D18C4B995866286DBC91AD9D264FE9E" xr6:coauthVersionLast="47" xr6:coauthVersionMax="47" xr10:uidLastSave="{0BE02525-6C6B-4A6A-9005-5A392C678B62}"/>
  <bookViews>
    <workbookView xWindow="-98" yWindow="-98" windowWidth="20715" windowHeight="13276" xr2:uid="{00000000-000D-0000-FFFF-FFFF00000000}"/>
  </bookViews>
  <sheets>
    <sheet name="Read me" sheetId="13" r:id="rId1"/>
    <sheet name="Assumptions" sheetId="11" r:id="rId2"/>
    <sheet name="Workings" sheetId="5" r:id="rId3"/>
    <sheet name="Q&amp;A" sheetId="12" r:id="rId4"/>
    <sheet name="Formats" sheetId="10" r:id="rId5"/>
  </sheets>
  <externalReferences>
    <externalReference r:id="rId6"/>
    <externalReference r:id="rId7"/>
    <externalReference r:id="rId8"/>
  </externalReferences>
  <definedNames>
    <definedName name="AS2DocOpenMode" hidden="1">"AS2DocumentEdit"</definedName>
    <definedName name="CIQWBGuid" hidden="1">"20121011 Sportingbet financials.xlsx"</definedName>
    <definedName name="DiscRate">[1]Data!$G$37</definedName>
    <definedName name="hols">[2]Assumptions!$B$10:$B$27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localSheetId="0" hidden="1">41371.9999652778</definedName>
    <definedName name="IQ_NAMES_REVISION_DATE_" hidden="1">41603.6842939815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Types">[3]Model!$C$9:$C$10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1" l="1" a="1"/>
  <c r="J16" i="11" s="1"/>
  <c r="F13" i="5" s="1"/>
  <c r="A4" i="12" a="1"/>
  <c r="A4" i="12" s="1"/>
  <c r="K96" i="5"/>
  <c r="A93" i="5"/>
  <c r="F41" i="5"/>
  <c r="E41" i="5"/>
  <c r="E36" i="5"/>
  <c r="E35" i="5"/>
  <c r="E91" i="5"/>
  <c r="E88" i="5"/>
  <c r="F82" i="5"/>
  <c r="E82" i="5"/>
  <c r="E81" i="5"/>
  <c r="L80" i="5"/>
  <c r="E75" i="5"/>
  <c r="F17" i="5"/>
  <c r="E17" i="5"/>
  <c r="L17" i="5" s="1"/>
  <c r="F16" i="5"/>
  <c r="E14" i="5"/>
  <c r="L14" i="5" s="1"/>
  <c r="K48" i="5"/>
  <c r="K42" i="5"/>
  <c r="K89" i="5" s="1"/>
  <c r="L87" i="5" s="1"/>
  <c r="K34" i="5"/>
  <c r="K35" i="5"/>
  <c r="K36" i="5"/>
  <c r="J49" i="11"/>
  <c r="E48" i="5" s="1"/>
  <c r="F14" i="5" l="1"/>
  <c r="B18" i="12"/>
  <c r="M17" i="5"/>
  <c r="N17" i="5" s="1"/>
  <c r="O17" i="5" s="1"/>
  <c r="P17" i="5" s="1"/>
  <c r="Q17" i="5" s="1"/>
  <c r="R17" i="5" s="1"/>
  <c r="S17" i="5" s="1"/>
  <c r="T17" i="5" s="1"/>
  <c r="U17" i="5" s="1"/>
  <c r="K95" i="5"/>
  <c r="K97" i="5" s="1"/>
  <c r="L81" i="5"/>
  <c r="L88" i="5"/>
  <c r="L60" i="5" s="1"/>
  <c r="L91" i="5"/>
  <c r="L16" i="5"/>
  <c r="L41" i="5" s="1"/>
  <c r="M14" i="5"/>
  <c r="M35" i="5" s="1"/>
  <c r="L35" i="5"/>
  <c r="L89" i="5" l="1"/>
  <c r="L19" i="5"/>
  <c r="L56" i="5" s="1"/>
  <c r="L36" i="5"/>
  <c r="L61" i="5" s="1"/>
  <c r="M87" i="5"/>
  <c r="L42" i="5"/>
  <c r="M16" i="5"/>
  <c r="N14" i="5"/>
  <c r="B4" i="12" s="1"/>
  <c r="L22" i="5"/>
  <c r="L59" i="5"/>
  <c r="M19" i="5" l="1"/>
  <c r="M56" i="5" s="1"/>
  <c r="M41" i="5"/>
  <c r="M36" i="5"/>
  <c r="M91" i="5"/>
  <c r="M88" i="5"/>
  <c r="M60" i="5" s="1"/>
  <c r="O14" i="5"/>
  <c r="N16" i="5"/>
  <c r="N35" i="5"/>
  <c r="M61" i="5" l="1"/>
  <c r="M89" i="5"/>
  <c r="N87" i="5" s="1"/>
  <c r="N41" i="5"/>
  <c r="N36" i="5"/>
  <c r="N19" i="5"/>
  <c r="M59" i="5"/>
  <c r="M22" i="5"/>
  <c r="O16" i="5"/>
  <c r="P14" i="5"/>
  <c r="O35" i="5"/>
  <c r="K50" i="5"/>
  <c r="K43" i="5"/>
  <c r="L43" i="5"/>
  <c r="L8" i="5"/>
  <c r="J50" i="11"/>
  <c r="F48" i="5" s="1"/>
  <c r="J59" i="11"/>
  <c r="K37" i="5" s="1"/>
  <c r="K76" i="5" s="1"/>
  <c r="A11" i="11"/>
  <c r="L6" i="5"/>
  <c r="L7" i="5"/>
  <c r="M7" i="5" s="1"/>
  <c r="N7" i="5" s="1"/>
  <c r="O7" i="5" s="1"/>
  <c r="P7" i="5" s="1"/>
  <c r="Q7" i="5" s="1"/>
  <c r="R7" i="5" s="1"/>
  <c r="S7" i="5" s="1"/>
  <c r="T7" i="5" s="1"/>
  <c r="U7" i="5" s="1"/>
  <c r="N61" i="5" l="1"/>
  <c r="L74" i="5"/>
  <c r="L75" i="5"/>
  <c r="L21" i="5" s="1"/>
  <c r="L24" i="5" s="1"/>
  <c r="K38" i="5"/>
  <c r="K45" i="5" s="1"/>
  <c r="K52" i="5" s="1"/>
  <c r="O19" i="5"/>
  <c r="O56" i="5" s="1"/>
  <c r="M42" i="5"/>
  <c r="M43" i="5" s="1"/>
  <c r="O36" i="5"/>
  <c r="O41" i="5"/>
  <c r="B12" i="12" s="1"/>
  <c r="N91" i="5"/>
  <c r="N88" i="5"/>
  <c r="M8" i="5"/>
  <c r="L48" i="5"/>
  <c r="L82" i="5"/>
  <c r="N56" i="5"/>
  <c r="P16" i="5"/>
  <c r="P19" i="5" s="1"/>
  <c r="P35" i="5"/>
  <c r="Q14" i="5"/>
  <c r="S6" i="5"/>
  <c r="O6" i="5"/>
  <c r="N6" i="5"/>
  <c r="T6" i="5"/>
  <c r="P6" i="5"/>
  <c r="R6" i="5"/>
  <c r="U6" i="5"/>
  <c r="Q6" i="5"/>
  <c r="M6" i="5"/>
  <c r="L76" i="5" l="1"/>
  <c r="M74" i="5" s="1"/>
  <c r="M75" i="5" s="1"/>
  <c r="M76" i="5" s="1"/>
  <c r="N74" i="5" s="1"/>
  <c r="N75" i="5" s="1"/>
  <c r="L95" i="5"/>
  <c r="O61" i="5"/>
  <c r="Q16" i="5"/>
  <c r="Q19" i="5" s="1"/>
  <c r="Q35" i="5"/>
  <c r="R14" i="5"/>
  <c r="B7" i="12" s="1"/>
  <c r="P56" i="5"/>
  <c r="P36" i="5"/>
  <c r="B10" i="12" s="1"/>
  <c r="P41" i="5"/>
  <c r="L58" i="5"/>
  <c r="L63" i="5" s="1"/>
  <c r="L83" i="5"/>
  <c r="M48" i="5"/>
  <c r="N8" i="5"/>
  <c r="M82" i="5"/>
  <c r="M58" i="5" s="1"/>
  <c r="M63" i="5" s="1"/>
  <c r="N89" i="5"/>
  <c r="N60" i="5"/>
  <c r="N22" i="5"/>
  <c r="N59" i="5"/>
  <c r="A11" i="5"/>
  <c r="M95" i="5" l="1"/>
  <c r="N76" i="5"/>
  <c r="O74" i="5" s="1"/>
  <c r="L65" i="5"/>
  <c r="O87" i="5"/>
  <c r="N42" i="5"/>
  <c r="N43" i="5" s="1"/>
  <c r="N48" i="5"/>
  <c r="M80" i="5"/>
  <c r="L37" i="5"/>
  <c r="R16" i="5"/>
  <c r="R19" i="5" s="1"/>
  <c r="R35" i="5"/>
  <c r="S14" i="5"/>
  <c r="Q56" i="5"/>
  <c r="O8" i="5"/>
  <c r="N82" i="5"/>
  <c r="N58" i="5" s="1"/>
  <c r="N63" i="5" s="1"/>
  <c r="Q36" i="5"/>
  <c r="Q41" i="5"/>
  <c r="P61" i="5"/>
  <c r="A31" i="5"/>
  <c r="A54" i="5"/>
  <c r="N95" i="5" l="1"/>
  <c r="L67" i="5"/>
  <c r="Q61" i="5"/>
  <c r="S16" i="5"/>
  <c r="S19" i="5" s="1"/>
  <c r="S35" i="5"/>
  <c r="T14" i="5"/>
  <c r="B5" i="12" s="1"/>
  <c r="R56" i="5"/>
  <c r="R36" i="5"/>
  <c r="R41" i="5"/>
  <c r="P8" i="5"/>
  <c r="O82" i="5"/>
  <c r="O58" i="5" s="1"/>
  <c r="M81" i="5"/>
  <c r="M21" i="5" s="1"/>
  <c r="M24" i="5" s="1"/>
  <c r="O91" i="5"/>
  <c r="O88" i="5"/>
  <c r="O75" i="5"/>
  <c r="O76" i="5" s="1"/>
  <c r="A71" i="5"/>
  <c r="A85" i="5" s="1"/>
  <c r="O48" i="5"/>
  <c r="L26" i="5" l="1"/>
  <c r="L28" i="5" s="1"/>
  <c r="L49" i="5" s="1"/>
  <c r="L50" i="5" s="1"/>
  <c r="L96" i="5"/>
  <c r="L97" i="5" s="1"/>
  <c r="O95" i="5"/>
  <c r="L69" i="5"/>
  <c r="L34" i="5" s="1"/>
  <c r="M83" i="5"/>
  <c r="M37" i="5" s="1"/>
  <c r="P48" i="5"/>
  <c r="O22" i="5"/>
  <c r="O59" i="5"/>
  <c r="T16" i="5"/>
  <c r="T19" i="5" s="1"/>
  <c r="T35" i="5"/>
  <c r="U14" i="5"/>
  <c r="Q8" i="5"/>
  <c r="P82" i="5"/>
  <c r="P58" i="5" s="1"/>
  <c r="S56" i="5"/>
  <c r="S41" i="5"/>
  <c r="S36" i="5"/>
  <c r="O89" i="5"/>
  <c r="O60" i="5"/>
  <c r="P74" i="5"/>
  <c r="P75" i="5" s="1"/>
  <c r="R61" i="5"/>
  <c r="N80" i="5" l="1"/>
  <c r="O63" i="5"/>
  <c r="B14" i="12" s="1"/>
  <c r="P95" i="5"/>
  <c r="M65" i="5"/>
  <c r="L38" i="5"/>
  <c r="L45" i="5" s="1"/>
  <c r="L52" i="5" s="1"/>
  <c r="S61" i="5"/>
  <c r="N81" i="5"/>
  <c r="N21" i="5" s="1"/>
  <c r="N24" i="5" s="1"/>
  <c r="T56" i="5"/>
  <c r="U16" i="5"/>
  <c r="U35" i="5"/>
  <c r="R8" i="5"/>
  <c r="Q82" i="5"/>
  <c r="Q58" i="5" s="1"/>
  <c r="P87" i="5"/>
  <c r="O42" i="5"/>
  <c r="O43" i="5" s="1"/>
  <c r="P76" i="5"/>
  <c r="T41" i="5"/>
  <c r="T36" i="5"/>
  <c r="Q48" i="5"/>
  <c r="Q95" i="5" l="1"/>
  <c r="U19" i="5"/>
  <c r="U56" i="5" s="1"/>
  <c r="B6" i="12"/>
  <c r="M67" i="5"/>
  <c r="N83" i="5"/>
  <c r="O80" i="5" s="1"/>
  <c r="T61" i="5"/>
  <c r="R48" i="5"/>
  <c r="S8" i="5"/>
  <c r="R82" i="5"/>
  <c r="R58" i="5" s="1"/>
  <c r="P91" i="5"/>
  <c r="P88" i="5"/>
  <c r="Q74" i="5"/>
  <c r="Q75" i="5" s="1"/>
  <c r="U41" i="5"/>
  <c r="U36" i="5"/>
  <c r="N37" i="5" l="1"/>
  <c r="U61" i="5"/>
  <c r="R95" i="5"/>
  <c r="M26" i="5"/>
  <c r="M28" i="5" s="1"/>
  <c r="M49" i="5" s="1"/>
  <c r="M50" i="5" s="1"/>
  <c r="M96" i="5"/>
  <c r="M69" i="5"/>
  <c r="M34" i="5" s="1"/>
  <c r="T8" i="5"/>
  <c r="S82" i="5"/>
  <c r="S58" i="5" s="1"/>
  <c r="O81" i="5"/>
  <c r="O21" i="5" s="1"/>
  <c r="O24" i="5" s="1"/>
  <c r="P89" i="5"/>
  <c r="P60" i="5"/>
  <c r="P59" i="5"/>
  <c r="P22" i="5"/>
  <c r="S48" i="5"/>
  <c r="Q76" i="5"/>
  <c r="S95" i="5" l="1"/>
  <c r="M97" i="5"/>
  <c r="N65" i="5"/>
  <c r="M38" i="5"/>
  <c r="M45" i="5" s="1"/>
  <c r="M52" i="5" s="1"/>
  <c r="O83" i="5"/>
  <c r="P80" i="5" s="1"/>
  <c r="R74" i="5"/>
  <c r="R75" i="5" s="1"/>
  <c r="Q87" i="5"/>
  <c r="P42" i="5"/>
  <c r="P43" i="5" s="1"/>
  <c r="T48" i="5"/>
  <c r="U8" i="5"/>
  <c r="U82" i="5" s="1"/>
  <c r="U58" i="5" s="1"/>
  <c r="T82" i="5"/>
  <c r="T58" i="5" s="1"/>
  <c r="P63" i="5"/>
  <c r="T95" i="5" l="1"/>
  <c r="O37" i="5"/>
  <c r="N67" i="5"/>
  <c r="P81" i="5"/>
  <c r="P21" i="5" s="1"/>
  <c r="P24" i="5" s="1"/>
  <c r="U48" i="5"/>
  <c r="U95" i="5" s="1"/>
  <c r="Q91" i="5"/>
  <c r="Q88" i="5"/>
  <c r="R76" i="5"/>
  <c r="P83" i="5" l="1"/>
  <c r="N26" i="5"/>
  <c r="N28" i="5" s="1"/>
  <c r="N49" i="5" s="1"/>
  <c r="N50" i="5" s="1"/>
  <c r="N96" i="5"/>
  <c r="N69" i="5"/>
  <c r="N34" i="5" s="1"/>
  <c r="S74" i="5"/>
  <c r="S75" i="5" s="1"/>
  <c r="Q80" i="5"/>
  <c r="P37" i="5"/>
  <c r="Q89" i="5"/>
  <c r="Q60" i="5"/>
  <c r="Q59" i="5"/>
  <c r="Q22" i="5"/>
  <c r="N97" i="5" l="1"/>
  <c r="O65" i="5"/>
  <c r="N38" i="5"/>
  <c r="N45" i="5" s="1"/>
  <c r="N52" i="5" s="1"/>
  <c r="Q81" i="5"/>
  <c r="Q21" i="5" s="1"/>
  <c r="Q24" i="5" s="1"/>
  <c r="S76" i="5"/>
  <c r="R87" i="5"/>
  <c r="Q42" i="5"/>
  <c r="Q43" i="5" s="1"/>
  <c r="Q63" i="5"/>
  <c r="O67" i="5" l="1"/>
  <c r="R91" i="5"/>
  <c r="R88" i="5"/>
  <c r="T74" i="5"/>
  <c r="T75" i="5" s="1"/>
  <c r="Q83" i="5"/>
  <c r="O26" i="5" l="1"/>
  <c r="O28" i="5" s="1"/>
  <c r="O49" i="5" s="1"/>
  <c r="O50" i="5" s="1"/>
  <c r="O96" i="5"/>
  <c r="O69" i="5"/>
  <c r="O34" i="5" s="1"/>
  <c r="T76" i="5"/>
  <c r="R80" i="5"/>
  <c r="Q37" i="5"/>
  <c r="R89" i="5"/>
  <c r="R60" i="5"/>
  <c r="R59" i="5"/>
  <c r="R22" i="5"/>
  <c r="R63" i="5" l="1"/>
  <c r="O97" i="5"/>
  <c r="P65" i="5"/>
  <c r="O38" i="5"/>
  <c r="O45" i="5" s="1"/>
  <c r="O52" i="5" s="1"/>
  <c r="S87" i="5"/>
  <c r="R42" i="5"/>
  <c r="R43" i="5" s="1"/>
  <c r="R81" i="5"/>
  <c r="R21" i="5" s="1"/>
  <c r="R24" i="5" s="1"/>
  <c r="U74" i="5"/>
  <c r="U75" i="5" s="1"/>
  <c r="P67" i="5" l="1"/>
  <c r="U76" i="5"/>
  <c r="R83" i="5"/>
  <c r="S91" i="5"/>
  <c r="S88" i="5"/>
  <c r="P26" i="5" l="1"/>
  <c r="P28" i="5" s="1"/>
  <c r="P49" i="5" s="1"/>
  <c r="P50" i="5" s="1"/>
  <c r="P96" i="5"/>
  <c r="P69" i="5"/>
  <c r="P34" i="5" s="1"/>
  <c r="S22" i="5"/>
  <c r="S59" i="5"/>
  <c r="S89" i="5"/>
  <c r="S60" i="5"/>
  <c r="S80" i="5"/>
  <c r="R37" i="5"/>
  <c r="B9" i="12" s="1"/>
  <c r="P97" i="5" l="1"/>
  <c r="Q65" i="5"/>
  <c r="P38" i="5"/>
  <c r="P45" i="5" s="1"/>
  <c r="P52" i="5" s="1"/>
  <c r="S81" i="5"/>
  <c r="S21" i="5" s="1"/>
  <c r="S24" i="5" s="1"/>
  <c r="T87" i="5"/>
  <c r="S42" i="5"/>
  <c r="S43" i="5" s="1"/>
  <c r="S63" i="5"/>
  <c r="Q67" i="5" l="1"/>
  <c r="Q69" i="5" s="1"/>
  <c r="Q34" i="5" s="1"/>
  <c r="S83" i="5"/>
  <c r="T91" i="5"/>
  <c r="T88" i="5"/>
  <c r="T80" i="5"/>
  <c r="S37" i="5"/>
  <c r="Q26" i="5" l="1"/>
  <c r="Q28" i="5" s="1"/>
  <c r="Q49" i="5" s="1"/>
  <c r="Q50" i="5" s="1"/>
  <c r="Q96" i="5"/>
  <c r="Q38" i="5"/>
  <c r="R65" i="5"/>
  <c r="T81" i="5"/>
  <c r="T21" i="5" s="1"/>
  <c r="T89" i="5"/>
  <c r="T60" i="5"/>
  <c r="T59" i="5"/>
  <c r="T22" i="5"/>
  <c r="Q45" i="5" l="1"/>
  <c r="Q52" i="5" s="1"/>
  <c r="B11" i="12"/>
  <c r="Q97" i="5"/>
  <c r="T83" i="5"/>
  <c r="R67" i="5"/>
  <c r="R69" i="5" s="1"/>
  <c r="R34" i="5" s="1"/>
  <c r="T63" i="5"/>
  <c r="U80" i="5"/>
  <c r="T37" i="5"/>
  <c r="U87" i="5"/>
  <c r="T42" i="5"/>
  <c r="T43" i="5" s="1"/>
  <c r="T24" i="5"/>
  <c r="B13" i="12" s="1"/>
  <c r="R26" i="5" l="1"/>
  <c r="R28" i="5" s="1"/>
  <c r="R49" i="5" s="1"/>
  <c r="R50" i="5" s="1"/>
  <c r="R96" i="5"/>
  <c r="R97" i="5" s="1"/>
  <c r="R38" i="5"/>
  <c r="R45" i="5" s="1"/>
  <c r="S65" i="5"/>
  <c r="U91" i="5"/>
  <c r="B8" i="12" s="1"/>
  <c r="U88" i="5"/>
  <c r="U81" i="5"/>
  <c r="U21" i="5" s="1"/>
  <c r="R52" i="5" l="1"/>
  <c r="S67" i="5"/>
  <c r="S69" i="5" s="1"/>
  <c r="S34" i="5" s="1"/>
  <c r="U83" i="5"/>
  <c r="U37" i="5" s="1"/>
  <c r="U89" i="5"/>
  <c r="U42" i="5" s="1"/>
  <c r="U43" i="5" s="1"/>
  <c r="U60" i="5"/>
  <c r="U59" i="5"/>
  <c r="U22" i="5"/>
  <c r="U24" i="5" s="1"/>
  <c r="U63" i="5" l="1"/>
  <c r="S26" i="5"/>
  <c r="S28" i="5" s="1"/>
  <c r="S49" i="5" s="1"/>
  <c r="S50" i="5" s="1"/>
  <c r="S96" i="5"/>
  <c r="S97" i="5" s="1"/>
  <c r="S38" i="5"/>
  <c r="S45" i="5" s="1"/>
  <c r="T65" i="5"/>
  <c r="S52" i="5" l="1"/>
  <c r="T67" i="5"/>
  <c r="T26" i="5" l="1"/>
  <c r="T28" i="5" s="1"/>
  <c r="T49" i="5" s="1"/>
  <c r="T50" i="5" s="1"/>
  <c r="T96" i="5"/>
  <c r="T97" i="5" s="1"/>
  <c r="T69" i="5"/>
  <c r="T34" i="5" s="1"/>
  <c r="T38" i="5" l="1"/>
  <c r="T45" i="5" s="1"/>
  <c r="T52" i="5" s="1"/>
  <c r="U65" i="5"/>
  <c r="U67" i="5" l="1"/>
  <c r="U26" i="5" l="1"/>
  <c r="U28" i="5" s="1"/>
  <c r="U49" i="5" s="1"/>
  <c r="U50" i="5" s="1"/>
  <c r="B16" i="12" s="1"/>
  <c r="U96" i="5"/>
  <c r="U69" i="5"/>
  <c r="U34" i="5" s="1"/>
  <c r="U38" i="5" s="1"/>
  <c r="U45" i="5" s="1"/>
  <c r="U52" i="5" l="1"/>
  <c r="J52" i="5" s="1"/>
  <c r="U97" i="5"/>
  <c r="K99" i="5" s="1"/>
  <c r="B17" i="12" s="1"/>
  <c r="B15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<sst xmlns="http://schemas.openxmlformats.org/spreadsheetml/2006/main" count="215" uniqueCount="138">
  <si>
    <t>Units</t>
  </si>
  <si>
    <t>Sum</t>
  </si>
  <si>
    <t>End Sheet</t>
  </si>
  <si>
    <t>[%]</t>
  </si>
  <si>
    <t>Assets</t>
  </si>
  <si>
    <t>Inventory</t>
  </si>
  <si>
    <t>Total Assets</t>
  </si>
  <si>
    <t>Liabilities</t>
  </si>
  <si>
    <t>Retained Earnings</t>
  </si>
  <si>
    <t>Total Equity</t>
  </si>
  <si>
    <t>Receivables</t>
  </si>
  <si>
    <t>Workings</t>
  </si>
  <si>
    <t>Working Capital</t>
  </si>
  <si>
    <t>[years]</t>
  </si>
  <si>
    <t>Equity</t>
  </si>
  <si>
    <t>To Retained Earnings</t>
  </si>
  <si>
    <t>ModelOff 2015 - Round 1 - Section 2</t>
  </si>
  <si>
    <t>[$]</t>
  </si>
  <si>
    <t>Period Start</t>
  </si>
  <si>
    <t>Period End</t>
  </si>
  <si>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</si>
  <si>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</si>
  <si>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</si>
  <si>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</si>
  <si>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</si>
  <si>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</si>
  <si>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</si>
  <si>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(2 decimal places)</t>
  </si>
  <si>
    <t>Calculation (percentage)</t>
  </si>
  <si>
    <t>Calculation (date)</t>
  </si>
  <si>
    <t>Units label</t>
  </si>
  <si>
    <t>Non Variable Assumption (0 decimal places)</t>
  </si>
  <si>
    <t>Bold Label</t>
  </si>
  <si>
    <t>Label</t>
  </si>
  <si>
    <t>Top Sheet header</t>
  </si>
  <si>
    <t>Section header</t>
  </si>
  <si>
    <t>Unique formula in row</t>
  </si>
  <si>
    <t>red font</t>
  </si>
  <si>
    <t>Calculation (negative, 0 decimal places)</t>
  </si>
  <si>
    <t>Assumptions</t>
  </si>
  <si>
    <t>Sales</t>
  </si>
  <si>
    <t>Year 1</t>
  </si>
  <si>
    <t>[$ p.a.]</t>
  </si>
  <si>
    <t>[% p.a.]</t>
  </si>
  <si>
    <t>Growth - Type A</t>
  </si>
  <si>
    <t>Growth - Type B</t>
  </si>
  <si>
    <t>Cost of Goods Sold</t>
  </si>
  <si>
    <t>Cost of Goods Sold (COGS)</t>
  </si>
  <si>
    <t>% of Sales</t>
  </si>
  <si>
    <t>Expenses</t>
  </si>
  <si>
    <t>Growth</t>
  </si>
  <si>
    <t>Opening PPE</t>
  </si>
  <si>
    <t>Amount</t>
  </si>
  <si>
    <t>Life</t>
  </si>
  <si>
    <t>New PPE</t>
  </si>
  <si>
    <t>Time of Purchase</t>
  </si>
  <si>
    <t>Funded by Equity</t>
  </si>
  <si>
    <t>Payables 1</t>
  </si>
  <si>
    <t>Payables 2</t>
  </si>
  <si>
    <t>Debt</t>
  </si>
  <si>
    <t>Interest Rate</t>
  </si>
  <si>
    <t>Initial Draw</t>
  </si>
  <si>
    <t>Principal repayment</t>
  </si>
  <si>
    <t>Equity Injections</t>
  </si>
  <si>
    <t>Initial Injection</t>
  </si>
  <si>
    <t>Injection 2 Amount</t>
  </si>
  <si>
    <t>Injection 2 Time</t>
  </si>
  <si>
    <t>[end of year #]</t>
  </si>
  <si>
    <t>[% of sales]</t>
  </si>
  <si>
    <t>[% of COGS]</t>
  </si>
  <si>
    <t>[% of expenses]</t>
  </si>
  <si>
    <t>Distributions</t>
  </si>
  <si>
    <t>Distribute cash above this level:</t>
  </si>
  <si>
    <t>Opening Assets</t>
  </si>
  <si>
    <t>Cash</t>
  </si>
  <si>
    <t>PPE</t>
  </si>
  <si>
    <t>Cell to be populated by model author</t>
  </si>
  <si>
    <t>Year Number</t>
  </si>
  <si>
    <t>Profit and Loss</t>
  </si>
  <si>
    <t>EBITDA</t>
  </si>
  <si>
    <t>Depreciation</t>
  </si>
  <si>
    <t>Interest Expense</t>
  </si>
  <si>
    <t>Net Profit</t>
  </si>
  <si>
    <t>Balance Sheet</t>
  </si>
  <si>
    <t>Payables</t>
  </si>
  <si>
    <t>Total Liabilities</t>
  </si>
  <si>
    <t>NET ASSETS</t>
  </si>
  <si>
    <t>Shareholder Capital</t>
  </si>
  <si>
    <t>Balance check</t>
  </si>
  <si>
    <t>Cash flow statement</t>
  </si>
  <si>
    <t>Capex</t>
  </si>
  <si>
    <t>Interest expense</t>
  </si>
  <si>
    <t>Principal payments</t>
  </si>
  <si>
    <t>Change in working capital</t>
  </si>
  <si>
    <t>Closing cash</t>
  </si>
  <si>
    <t>Asset schedule</t>
  </si>
  <si>
    <t>Opening PP&amp;E</t>
  </si>
  <si>
    <t>New PP&amp;E</t>
  </si>
  <si>
    <t>Opening</t>
  </si>
  <si>
    <t>Closing</t>
  </si>
  <si>
    <t>Debt schedule</t>
  </si>
  <si>
    <t>Payment</t>
  </si>
  <si>
    <t>Interest</t>
  </si>
  <si>
    <t>Cash capex</t>
  </si>
  <si>
    <t>Change in cash pre-distributions</t>
  </si>
  <si>
    <t>Closing cash pre-distribution</t>
  </si>
  <si>
    <t>Distribution</t>
  </si>
  <si>
    <t>Equity cash flow</t>
  </si>
  <si>
    <t>Injections</t>
  </si>
  <si>
    <t>Net CF</t>
  </si>
  <si>
    <t>#</t>
  </si>
  <si>
    <t>B</t>
  </si>
  <si>
    <t>D</t>
  </si>
  <si>
    <t>F</t>
  </si>
  <si>
    <t>A</t>
  </si>
  <si>
    <t>C</t>
  </si>
  <si>
    <t>IRR</t>
  </si>
  <si>
    <t>E</t>
  </si>
  <si>
    <t>Q30 scenario active?</t>
  </si>
  <si>
    <t>Q30</t>
  </si>
  <si>
    <t>Base</t>
  </si>
  <si>
    <t>← Activate Q30 scenario for this one</t>
  </si>
  <si>
    <t>Hard code</t>
  </si>
  <si>
    <t>Link</t>
  </si>
  <si>
    <t>Read me</t>
  </si>
  <si>
    <t>This model was prepared under time pressure as in the competition - it's not a total mess, but it's definitely not 'best practice' either.</t>
  </si>
  <si>
    <t>You can watch a live recording of the model being prepared and explained here:</t>
  </si>
  <si>
    <t>You can find most of the ModelOff past questions here:</t>
  </si>
  <si>
    <t>https://drive.google.com/drive/folders/1IsojxZw9K8ZbAHwduQiO6pihWFwJ09fu?usp=sharing</t>
  </si>
  <si>
    <t>I strongly encourage you to try the questions yourself before looking at my solution.</t>
  </si>
  <si>
    <t>I'll be posting video walkthroughs of other ModelOff problems on my YouTube channel (below).</t>
  </si>
  <si>
    <t>Diarmuid Early</t>
  </si>
  <si>
    <t>youtube.com/@DimEarly</t>
  </si>
  <si>
    <t>linkedin.com/in/diarmuidearly/</t>
  </si>
  <si>
    <t>https://youtu.be/IRvL_YGl5h0</t>
  </si>
  <si>
    <t>This is a sample solution to a case from Round 1 of ModelOff (the financial modeling competition) from 2015.</t>
  </si>
  <si>
    <t>Questions and answers</t>
  </si>
  <si>
    <t>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</si>
</sst>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#,##0.;\-#,##0.;\-"/>
    <numFmt numFmtId="169" formatCode="#,##0_);\(#,##0\);\-"/>
    <numFmt numFmtId="170" formatCode="d\-mmm\-yy;d\-mmm\-yy;\-"/>
    <numFmt numFmtId="171" formatCode="0.00%_);\(0.00%\);\-"/>
    <numFmt numFmtId="172" formatCode="#,##0.00_);\(#,##0.00\);\-"/>
  </numFmts>
  <fonts count="3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0"/>
      <color rgb="FF0000FF"/>
      <name val="Arial"/>
      <family val="2"/>
    </font>
    <font>
      <u/>
      <sz val="8"/>
      <color theme="10"/>
      <name val="Arial"/>
      <family val="2"/>
    </font>
    <font>
      <b/>
      <sz val="10"/>
      <color theme="1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u val="singleAccounting"/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4659260841701"/>
        <bgColor indexed="64"/>
      </patternFill>
    </fill>
    <fill>
      <patternFill patternType="lightTrellis"/>
    </fill>
  </fills>
  <borders count="1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63">
    <xf numFmtId="0" fontId="0" fillId="0" borderId="0"/>
    <xf numFmtId="0" fontId="5" fillId="36" borderId="0" applyNumberFormat="0" applyAlignment="0"/>
    <xf numFmtId="169" fontId="4" fillId="0" borderId="0" applyBorder="0"/>
    <xf numFmtId="0" fontId="8" fillId="0" borderId="0" applyNumberFormat="0" applyFill="0" applyBorder="0">
      <alignment horizontal="right"/>
    </xf>
    <xf numFmtId="0" fontId="9" fillId="0" borderId="0" applyNumberFormat="0" applyFill="0" applyBorder="0" applyAlignment="0" applyProtection="0"/>
    <xf numFmtId="169" fontId="10" fillId="0" borderId="0" applyBorder="0"/>
    <xf numFmtId="170" fontId="4" fillId="0" borderId="0" applyBorder="0"/>
    <xf numFmtId="4" fontId="10" fillId="2" borderId="1">
      <alignment horizontal="left"/>
    </xf>
    <xf numFmtId="171" fontId="8" fillId="4" borderId="13">
      <protection locked="0"/>
    </xf>
    <xf numFmtId="169" fontId="8" fillId="4" borderId="13">
      <protection locked="0"/>
    </xf>
    <xf numFmtId="169" fontId="8" fillId="0" borderId="14"/>
    <xf numFmtId="171" fontId="12" fillId="0" borderId="0" applyFill="0" applyBorder="0" applyAlignment="0"/>
    <xf numFmtId="0" fontId="11" fillId="0" borderId="0" applyNumberFormat="0" applyFill="0" applyBorder="0" applyAlignment="0"/>
    <xf numFmtId="167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6" applyNumberFormat="0" applyAlignment="0" applyProtection="0"/>
    <xf numFmtId="0" fontId="23" fillId="9" borderId="7" applyNumberFormat="0" applyAlignment="0" applyProtection="0"/>
    <xf numFmtId="0" fontId="24" fillId="9" borderId="6" applyNumberFormat="0" applyAlignment="0" applyProtection="0"/>
    <xf numFmtId="0" fontId="25" fillId="0" borderId="8" applyNumberFormat="0" applyFill="0" applyAlignment="0" applyProtection="0"/>
    <xf numFmtId="0" fontId="26" fillId="10" borderId="9" applyNumberFormat="0" applyAlignment="0" applyProtection="0"/>
    <xf numFmtId="0" fontId="27" fillId="0" borderId="0" applyNumberFormat="0" applyFill="0" applyBorder="0" applyAlignment="0" applyProtection="0"/>
    <xf numFmtId="0" fontId="14" fillId="11" borderId="10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0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30" fillId="35" borderId="0" applyNumberFormat="0" applyBorder="0" applyAlignment="0" applyProtection="0"/>
    <xf numFmtId="172" fontId="4" fillId="0" borderId="0" applyBorder="0"/>
    <xf numFmtId="172" fontId="8" fillId="4" borderId="13">
      <protection locked="0"/>
    </xf>
    <xf numFmtId="170" fontId="8" fillId="4" borderId="13"/>
    <xf numFmtId="0" fontId="4" fillId="0" borderId="0"/>
  </cellStyleXfs>
  <cellXfs count="56">
    <xf numFmtId="0" fontId="0" fillId="0" borderId="0" xfId="0"/>
    <xf numFmtId="172" fontId="5" fillId="36" borderId="0" xfId="1" applyNumberFormat="1"/>
    <xf numFmtId="0" fontId="5" fillId="36" borderId="0" xfId="1"/>
    <xf numFmtId="0" fontId="4" fillId="0" borderId="0" xfId="0" applyFont="1"/>
    <xf numFmtId="0" fontId="6" fillId="0" borderId="0" xfId="0" applyFont="1"/>
    <xf numFmtId="168" fontId="7" fillId="36" borderId="0" xfId="1" applyNumberFormat="1" applyFont="1" applyAlignment="1">
      <alignment horizontal="left"/>
    </xf>
    <xf numFmtId="0" fontId="7" fillId="36" borderId="0" xfId="1" applyFont="1"/>
    <xf numFmtId="169" fontId="4" fillId="0" borderId="0" xfId="2"/>
    <xf numFmtId="169" fontId="8" fillId="0" borderId="0" xfId="3" applyNumberFormat="1">
      <alignment horizontal="right"/>
    </xf>
    <xf numFmtId="169" fontId="0" fillId="0" borderId="0" xfId="0" applyNumberFormat="1"/>
    <xf numFmtId="169" fontId="10" fillId="0" borderId="0" xfId="5"/>
    <xf numFmtId="170" fontId="4" fillId="0" borderId="0" xfId="6"/>
    <xf numFmtId="169" fontId="4" fillId="0" borderId="0" xfId="2" applyBorder="1"/>
    <xf numFmtId="169" fontId="8" fillId="0" borderId="0" xfId="3" applyNumberFormat="1" applyBorder="1">
      <alignment horizontal="right"/>
    </xf>
    <xf numFmtId="4" fontId="10" fillId="2" borderId="1" xfId="7">
      <alignment horizontal="left"/>
    </xf>
    <xf numFmtId="169" fontId="4" fillId="0" borderId="0" xfId="2" quotePrefix="1"/>
    <xf numFmtId="0" fontId="11" fillId="0" borderId="0" xfId="0" applyFont="1"/>
    <xf numFmtId="0" fontId="8" fillId="0" borderId="0" xfId="3">
      <alignment horizontal="right"/>
    </xf>
    <xf numFmtId="169" fontId="4" fillId="0" borderId="2" xfId="2" applyBorder="1"/>
    <xf numFmtId="171" fontId="8" fillId="4" borderId="13" xfId="8">
      <protection locked="0"/>
    </xf>
    <xf numFmtId="0" fontId="4" fillId="0" borderId="0" xfId="6" applyNumberFormat="1"/>
    <xf numFmtId="169" fontId="8" fillId="0" borderId="14" xfId="10"/>
    <xf numFmtId="0" fontId="3" fillId="36" borderId="0" xfId="1" applyFont="1" applyAlignment="1"/>
    <xf numFmtId="171" fontId="12" fillId="0" borderId="0" xfId="11"/>
    <xf numFmtId="169" fontId="13" fillId="0" borderId="0" xfId="2" applyFont="1"/>
    <xf numFmtId="169" fontId="11" fillId="0" borderId="0" xfId="12" applyNumberFormat="1"/>
    <xf numFmtId="170" fontId="4" fillId="0" borderId="0" xfId="6" applyBorder="1"/>
    <xf numFmtId="0" fontId="4" fillId="0" borderId="0" xfId="6" applyNumberFormat="1" applyBorder="1"/>
    <xf numFmtId="169" fontId="10" fillId="0" borderId="0" xfId="5" applyBorder="1"/>
    <xf numFmtId="169" fontId="4" fillId="0" borderId="12" xfId="2" applyBorder="1"/>
    <xf numFmtId="169" fontId="8" fillId="4" borderId="13" xfId="9">
      <protection locked="0"/>
    </xf>
    <xf numFmtId="172" fontId="4" fillId="0" borderId="0" xfId="59"/>
    <xf numFmtId="172" fontId="4" fillId="0" borderId="0" xfId="59" applyBorder="1"/>
    <xf numFmtId="172" fontId="4" fillId="3" borderId="0" xfId="59" applyFill="1"/>
    <xf numFmtId="172" fontId="4" fillId="0" borderId="0" xfId="59" quotePrefix="1"/>
    <xf numFmtId="172" fontId="8" fillId="0" borderId="0" xfId="3" applyNumberFormat="1">
      <alignment horizontal="right"/>
    </xf>
    <xf numFmtId="172" fontId="8" fillId="4" borderId="13" xfId="60">
      <protection locked="0"/>
    </xf>
    <xf numFmtId="170" fontId="8" fillId="4" borderId="13" xfId="61"/>
    <xf numFmtId="170" fontId="13" fillId="0" borderId="0" xfId="6" applyFont="1"/>
    <xf numFmtId="169" fontId="11" fillId="0" borderId="0" xfId="12" quotePrefix="1" applyNumberFormat="1"/>
    <xf numFmtId="171" fontId="11" fillId="0" borderId="0" xfId="12" applyNumberFormat="1"/>
    <xf numFmtId="171" fontId="11" fillId="0" borderId="0" xfId="12" quotePrefix="1" applyNumberFormat="1"/>
    <xf numFmtId="169" fontId="4" fillId="37" borderId="0" xfId="2" applyFill="1"/>
    <xf numFmtId="3" fontId="0" fillId="0" borderId="0" xfId="0" applyNumberFormat="1"/>
    <xf numFmtId="10" fontId="0" fillId="0" borderId="0" xfId="0" applyNumberFormat="1"/>
    <xf numFmtId="10" fontId="4" fillId="0" borderId="0" xfId="2" applyNumberFormat="1"/>
    <xf numFmtId="0" fontId="2" fillId="0" borderId="0" xfId="0" applyFont="1"/>
    <xf numFmtId="0" fontId="31" fillId="0" borderId="0" xfId="62" applyFont="1"/>
    <xf numFmtId="0" fontId="1" fillId="0" borderId="0" xfId="62" applyFont="1"/>
    <xf numFmtId="0" fontId="32" fillId="0" borderId="0" xfId="62" applyFont="1"/>
    <xf numFmtId="0" fontId="33" fillId="0" borderId="0" xfId="62" applyFont="1"/>
    <xf numFmtId="0" fontId="31" fillId="0" borderId="0" xfId="0" applyFont="1" applyAlignment="1">
      <alignment vertical="top"/>
    </xf>
    <xf numFmtId="0" fontId="0" fillId="0" borderId="0" xfId="0" applyAlignment="1">
      <alignment vertical="top"/>
    </xf>
    <xf numFmtId="0" fontId="34" fillId="0" borderId="0" xfId="0" applyFont="1"/>
    <xf numFmtId="169" fontId="8" fillId="0" borderId="13" xfId="9" applyFill="1">
      <protection locked="0"/>
    </xf>
    <xf numFmtId="171" fontId="8" fillId="0" borderId="13" xfId="8" applyFill="1">
      <protection locked="0"/>
    </xf>
  </cellXfs>
  <cellStyles count="63">
    <cellStyle name="20% - Accent1" xfId="36" builtinId="30" hidden="1"/>
    <cellStyle name="20% - Accent2" xfId="40" builtinId="34" hidden="1"/>
    <cellStyle name="20% - Accent3" xfId="44" builtinId="38" hidden="1"/>
    <cellStyle name="20% - Accent4" xfId="48" builtinId="42" hidden="1"/>
    <cellStyle name="20% - Accent5" xfId="52" builtinId="46" hidden="1"/>
    <cellStyle name="20% - Accent6" xfId="56" builtinId="50" hidden="1"/>
    <cellStyle name="40% - Accent1" xfId="37" builtinId="31" hidden="1"/>
    <cellStyle name="40% - Accent2" xfId="41" builtinId="35" hidden="1"/>
    <cellStyle name="40% - Accent3" xfId="45" builtinId="39" hidden="1"/>
    <cellStyle name="40% - Accent4" xfId="49" builtinId="43" hidden="1"/>
    <cellStyle name="40% - Accent5" xfId="53" builtinId="47" hidden="1"/>
    <cellStyle name="40% - Accent6" xfId="57" builtinId="51" hidden="1"/>
    <cellStyle name="60% - Accent1" xfId="38" builtinId="32" hidden="1"/>
    <cellStyle name="60% - Accent2" xfId="42" builtinId="36" hidden="1"/>
    <cellStyle name="60% - Accent3" xfId="46" builtinId="40" hidden="1"/>
    <cellStyle name="60% - Accent4" xfId="50" builtinId="44" hidden="1"/>
    <cellStyle name="60% - Accent5" xfId="54" builtinId="48" hidden="1"/>
    <cellStyle name="60% - Accent6" xfId="58" builtinId="52" hidden="1"/>
    <cellStyle name="Accent1" xfId="35" builtinId="29" hidden="1"/>
    <cellStyle name="Accent2" xfId="39" builtinId="33" hidden="1"/>
    <cellStyle name="Accent3" xfId="43" builtinId="37" hidden="1"/>
    <cellStyle name="Accent4" xfId="47" builtinId="41" hidden="1"/>
    <cellStyle name="Accent5" xfId="51" builtinId="45" hidden="1"/>
    <cellStyle name="Accent6" xfId="55" builtinId="49" hidden="1"/>
    <cellStyle name="Bad" xfId="24" builtinId="27" hidden="1"/>
    <cellStyle name="Calculation" xfId="28" builtinId="22" hidden="1"/>
    <cellStyle name="Check Cell" xfId="30" builtinId="23" hidden="1"/>
    <cellStyle name="Comma" xfId="13" builtinId="3" hidden="1"/>
    <cellStyle name="Comma [0]" xfId="14" builtinId="6" hidden="1"/>
    <cellStyle name="Currency" xfId="15" builtinId="4" hidden="1"/>
    <cellStyle name="Currency [0]" xfId="16" builtinId="7" hidden="1"/>
    <cellStyle name="Explanatory Text" xfId="33" builtinId="53" hidden="1"/>
    <cellStyle name="Good" xfId="23" builtinId="26" hidden="1"/>
    <cellStyle name="Heading 1" xfId="19" builtinId="16" hidden="1"/>
    <cellStyle name="Heading 2" xfId="20" builtinId="17" hidden="1"/>
    <cellStyle name="Heading 3" xfId="21" builtinId="18" hidden="1"/>
    <cellStyle name="Heading 4" xfId="22" builtinId="19" hidden="1"/>
    <cellStyle name="Hyperlink" xfId="4" builtinId="8" hidden="1"/>
    <cellStyle name="Input" xfId="26" builtinId="20" hidden="1"/>
    <cellStyle name="Linked Cell" xfId="29" builtinId="24" hidden="1"/>
    <cellStyle name="M Section Header" xfId="7" xr:uid="{00000000-0005-0000-0000-000028000000}"/>
    <cellStyle name="M TopHeader" xfId="1" xr:uid="{00000000-0005-0000-0000-000029000000}"/>
    <cellStyle name="M Units" xfId="3" xr:uid="{00000000-0005-0000-0000-00002A000000}"/>
    <cellStyle name="M Wkg text" xfId="12" xr:uid="{00000000-0005-0000-0000-00002B000000}"/>
    <cellStyle name="M-A 0dp" xfId="9" xr:uid="{00000000-0005-0000-0000-00002C000000}"/>
    <cellStyle name="M-A 2dp" xfId="60" xr:uid="{00000000-0005-0000-0000-00002D000000}"/>
    <cellStyle name="M-A Date" xfId="61" xr:uid="{00000000-0005-0000-0000-00002E000000}"/>
    <cellStyle name="M-A Fixed 0dp" xfId="10" xr:uid="{00000000-0005-0000-0000-00002F000000}"/>
    <cellStyle name="M-A Pct2dp" xfId="8" xr:uid="{00000000-0005-0000-0000-000030000000}"/>
    <cellStyle name="M-C 0dp Num" xfId="2" xr:uid="{00000000-0005-0000-0000-000031000000}"/>
    <cellStyle name="M-C 2dp Num" xfId="59" xr:uid="{00000000-0005-0000-0000-000032000000}"/>
    <cellStyle name="M-C Bld 0dp" xfId="5" xr:uid="{00000000-0005-0000-0000-000033000000}"/>
    <cellStyle name="M-C Date" xfId="6" xr:uid="{00000000-0005-0000-0000-000034000000}"/>
    <cellStyle name="M-C Pct 2DP" xfId="11" xr:uid="{00000000-0005-0000-0000-000035000000}"/>
    <cellStyle name="Neutral" xfId="25" builtinId="28" hidden="1"/>
    <cellStyle name="Normal" xfId="0" builtinId="0"/>
    <cellStyle name="Normal 2" xfId="62" xr:uid="{105C3371-AFE3-42EB-99F3-91AF89014DA8}"/>
    <cellStyle name="Note" xfId="32" builtinId="10" hidden="1"/>
    <cellStyle name="Output" xfId="27" builtinId="21" hidden="1"/>
    <cellStyle name="Percent" xfId="17" builtinId="5" hidden="1"/>
    <cellStyle name="Title" xfId="18" builtinId="15" hidden="1"/>
    <cellStyle name="Total" xfId="34" builtinId="25" hidden="1"/>
    <cellStyle name="Warning Text" xfId="31" builtinId="11" hidden="1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9</xdr:col>
      <xdr:colOff>663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0"/>
          <a:ext cx="2658138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65552</xdr:colOff>
      <xdr:row>0</xdr:row>
      <xdr:rowOff>0</xdr:rowOff>
    </xdr:from>
    <xdr:to>
      <xdr:col>11</xdr:col>
      <xdr:colOff>885364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6327" y="0"/>
          <a:ext cx="285340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9</xdr:col>
      <xdr:colOff>663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0"/>
          <a:ext cx="2658138" cy="762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e12e3b1fca6b2bc/Desktop/Excel/Videos/2023-03%2012%20MO14%20R2%20Q2/MO14%20Round%202%20-%20Sec%202%20-%20Time%20is%20Money%20-%20Live%20attempt.xlsx" TargetMode="External"/><Relationship Id="rId1" Type="http://schemas.openxmlformats.org/officeDocument/2006/relationships/externalLinkPath" Target="/0e12e3b1fca6b2bc/Desktop/Excel/Videos/2023-03%2012%20MO14%20R2%20Q2/MO14%20Round%202%20-%20Sec%202%20-%20Time%20is%20Money%20-%20Live%20attemp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e12e3b1fca6b2bc/Desktop/Excel/Videos/2023-03%209%20MO14%20R1%20Q2/MO14%20Round%201%20-%20Sec%202%20-%20Precise%20Debt%20Modeling%20-%20Live%20attempt.xlsx" TargetMode="External"/><Relationship Id="rId1" Type="http://schemas.openxmlformats.org/officeDocument/2006/relationships/externalLinkPath" Target="/0e12e3b1fca6b2bc/Desktop/Excel/Videos/2023-03%209%20MO14%20R1%20Q2/MO14%20Round%201%20-%20Sec%202%20-%20Precise%20Debt%20Modeling%20-%20Live%20attemp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e12e3b1fca6b2bc/Desktop/Excel/Videos/2023-02%203%20MO13%20R1%20S4/MO13%20Round%201%20-%20Sec%204%20-%20Energy%20-%20Live%20attempt.xlsx" TargetMode="External"/><Relationship Id="rId1" Type="http://schemas.openxmlformats.org/officeDocument/2006/relationships/externalLinkPath" Target="/0e12e3b1fca6b2bc/Desktop/Excel/Videos/2023-02%203%20MO13%20R1%20S4/MO13%20Round%201%20-%20Sec%204%20-%20Energy%20-%20Live%20attem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Data"/>
      <sheetName val="Model"/>
      <sheetName val="Q&amp;A"/>
      <sheetName val="Formats"/>
    </sheetNames>
    <sheetDataSet>
      <sheetData sheetId="0"/>
      <sheetData sheetId="1">
        <row r="37">
          <cell r="G37">
            <v>0.1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Assumptions"/>
      <sheetName val="Model"/>
      <sheetName val="Model (DA)"/>
      <sheetName val="Q&amp;A"/>
    </sheetNames>
    <sheetDataSet>
      <sheetData sheetId="0" refreshError="1"/>
      <sheetData sheetId="1">
        <row r="10">
          <cell r="B10">
            <v>42097</v>
          </cell>
        </row>
        <row r="11">
          <cell r="B11">
            <v>42100</v>
          </cell>
        </row>
        <row r="12">
          <cell r="B12">
            <v>42302</v>
          </cell>
        </row>
        <row r="13">
          <cell r="B13">
            <v>42454</v>
          </cell>
        </row>
        <row r="14">
          <cell r="B14">
            <v>42457</v>
          </cell>
        </row>
        <row r="15">
          <cell r="B15">
            <v>42667</v>
          </cell>
        </row>
        <row r="16">
          <cell r="B16">
            <v>42839</v>
          </cell>
        </row>
        <row r="17">
          <cell r="B17">
            <v>42842</v>
          </cell>
        </row>
        <row r="18">
          <cell r="B18">
            <v>43038</v>
          </cell>
        </row>
        <row r="19">
          <cell r="B19">
            <v>43189</v>
          </cell>
        </row>
        <row r="20">
          <cell r="B20">
            <v>43192</v>
          </cell>
        </row>
        <row r="21">
          <cell r="B21">
            <v>43392</v>
          </cell>
        </row>
        <row r="22">
          <cell r="B22">
            <v>43574</v>
          </cell>
        </row>
        <row r="23">
          <cell r="B23">
            <v>43577</v>
          </cell>
        </row>
        <row r="24">
          <cell r="B24">
            <v>43752</v>
          </cell>
        </row>
        <row r="25">
          <cell r="B25">
            <v>43931</v>
          </cell>
        </row>
        <row r="26">
          <cell r="B26">
            <v>43934</v>
          </cell>
        </row>
        <row r="27">
          <cell r="B27">
            <v>44123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Assumptions"/>
      <sheetName val="Model"/>
      <sheetName val="Q&amp;A"/>
    </sheetNames>
    <sheetDataSet>
      <sheetData sheetId="0"/>
      <sheetData sheetId="1"/>
      <sheetData sheetId="2">
        <row r="9">
          <cell r="C9" t="str">
            <v>Small</v>
          </cell>
        </row>
        <row r="10">
          <cell r="C10" t="str">
            <v>Large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inkedin.com/in/diarmuidearly/" TargetMode="External"/><Relationship Id="rId2" Type="http://schemas.openxmlformats.org/officeDocument/2006/relationships/hyperlink" Target="mailto:youtube.com/@DimEarly" TargetMode="External"/><Relationship Id="rId1" Type="http://schemas.openxmlformats.org/officeDocument/2006/relationships/hyperlink" Target="https://drive.google.com/drive/folders/1IsojxZw9K8ZbAHwduQiO6pihWFwJ09fu?usp=sharing" TargetMode="External"/><Relationship Id="rId4" Type="http://schemas.openxmlformats.org/officeDocument/2006/relationships/hyperlink" Target="https://youtu.be/IRvL_YGl5h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517D-98BB-44B7-BEAF-59A5BC9ECEFF}">
  <dimension ref="A1:A18"/>
  <sheetViews>
    <sheetView showGridLines="0" tabSelected="1" workbookViewId="0"/>
  </sheetViews>
  <sheetFormatPr defaultRowHeight="21" x14ac:dyDescent="0.65"/>
  <cols>
    <col min="1" max="16384" width="9.06640625" style="49"/>
  </cols>
  <sheetData>
    <row r="1" spans="1:1" s="48" customFormat="1" ht="25.5" x14ac:dyDescent="0.75">
      <c r="A1" s="47" t="s">
        <v>124</v>
      </c>
    </row>
    <row r="3" spans="1:1" x14ac:dyDescent="0.65">
      <c r="A3" s="49" t="s">
        <v>135</v>
      </c>
    </row>
    <row r="5" spans="1:1" x14ac:dyDescent="0.65">
      <c r="A5" s="49" t="s">
        <v>125</v>
      </c>
    </row>
    <row r="7" spans="1:1" x14ac:dyDescent="0.65">
      <c r="A7" s="49" t="s">
        <v>126</v>
      </c>
    </row>
    <row r="8" spans="1:1" x14ac:dyDescent="0.65">
      <c r="A8" s="50" t="s">
        <v>134</v>
      </c>
    </row>
    <row r="10" spans="1:1" x14ac:dyDescent="0.65">
      <c r="A10" s="49" t="s">
        <v>127</v>
      </c>
    </row>
    <row r="11" spans="1:1" x14ac:dyDescent="0.65">
      <c r="A11" s="50" t="s">
        <v>128</v>
      </c>
    </row>
    <row r="12" spans="1:1" x14ac:dyDescent="0.65">
      <c r="A12" s="49" t="s">
        <v>129</v>
      </c>
    </row>
    <row r="14" spans="1:1" x14ac:dyDescent="0.65">
      <c r="A14" s="49" t="s">
        <v>130</v>
      </c>
    </row>
    <row r="16" spans="1:1" x14ac:dyDescent="0.65">
      <c r="A16" s="49" t="s">
        <v>131</v>
      </c>
    </row>
    <row r="17" spans="1:1" x14ac:dyDescent="0.65">
      <c r="A17" s="50" t="s">
        <v>132</v>
      </c>
    </row>
    <row r="18" spans="1:1" x14ac:dyDescent="0.65">
      <c r="A18" s="50" t="s">
        <v>133</v>
      </c>
    </row>
  </sheetData>
  <hyperlinks>
    <hyperlink ref="A11" r:id="rId1" xr:uid="{6B464883-A1C9-40C2-890C-CE999999A3F0}"/>
    <hyperlink ref="A17" r:id="rId2" xr:uid="{801AAA28-0615-4B3D-A557-FCF7DBAF5CF9}"/>
    <hyperlink ref="A18" r:id="rId3" display="www.linkedin.com/in/diarmuidearly/" xr:uid="{EF0FDDC4-5C16-4ED1-BCD6-B032D87320BF}"/>
    <hyperlink ref="A8" r:id="rId4" xr:uid="{A2BDA9EF-8134-4E4E-A419-C1CB8CF810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  <outlinePr summaryBelow="0"/>
  </sheetPr>
  <dimension ref="A1:M64"/>
  <sheetViews>
    <sheetView showGridLines="0" zoomScaleNormal="100" zoomScalePageLayoutView="85" workbookViewId="0">
      <pane ySplit="7" topLeftCell="A8" activePane="bottomLeft" state="frozen"/>
      <selection pane="bottomLeft" activeCell="A8" sqref="A8"/>
    </sheetView>
  </sheetViews>
  <sheetFormatPr defaultColWidth="8.86328125" defaultRowHeight="12.75" x14ac:dyDescent="0.35"/>
  <cols>
    <col min="1" max="1" width="7.265625" style="3" customWidth="1"/>
    <col min="2" max="2" width="4.73046875" style="3" customWidth="1"/>
    <col min="3" max="3" width="3.73046875" style="16" customWidth="1"/>
    <col min="4" max="4" width="40.73046875" style="16" customWidth="1"/>
    <col min="5" max="6" width="12.73046875" style="3" customWidth="1"/>
    <col min="7" max="7" width="3.73046875" style="3" customWidth="1"/>
    <col min="8" max="8" width="10.73046875" style="17" customWidth="1"/>
    <col min="9" max="9" width="12.73046875" style="3" customWidth="1"/>
    <col min="10" max="10" width="15.73046875" style="3" customWidth="1"/>
    <col min="11" max="11" width="3.73046875" style="3" customWidth="1"/>
    <col min="12" max="12" width="12.73046875" style="3" customWidth="1"/>
    <col min="13" max="13" width="13" style="3" bestFit="1" customWidth="1"/>
    <col min="14" max="16384" width="8.86328125" style="3"/>
  </cols>
  <sheetData>
    <row r="1" spans="1:13" ht="22.5" x14ac:dyDescent="0.6">
      <c r="A1" s="2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s="4" customFormat="1" ht="18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 ht="18" customHeight="1" x14ac:dyDescent="0.5">
      <c r="A3" s="5">
        <v>1</v>
      </c>
      <c r="B3" s="2"/>
      <c r="C3" s="6" t="s">
        <v>39</v>
      </c>
      <c r="D3" s="2"/>
      <c r="E3" s="2"/>
      <c r="F3" s="2"/>
      <c r="G3" s="2"/>
      <c r="H3" s="2"/>
      <c r="I3" s="2"/>
      <c r="J3" s="2"/>
      <c r="K3" s="2"/>
      <c r="L3" s="2"/>
    </row>
    <row r="4" spans="1:13" s="7" customFormat="1" ht="12" customHeight="1" x14ac:dyDescent="0.35"/>
    <row r="5" spans="1:13" s="7" customFormat="1" ht="12" customHeight="1" x14ac:dyDescent="0.35"/>
    <row r="6" spans="1:13" s="7" customFormat="1" ht="12" customHeight="1" x14ac:dyDescent="0.35"/>
    <row r="7" spans="1:13" s="7" customFormat="1" ht="12" customHeight="1" x14ac:dyDescent="0.35"/>
    <row r="8" spans="1:13" s="7" customFormat="1" ht="12" customHeight="1" x14ac:dyDescent="0.35"/>
    <row r="9" spans="1:13" s="7" customFormat="1" ht="12" customHeight="1" x14ac:dyDescent="0.35">
      <c r="F9" s="8" t="s">
        <v>0</v>
      </c>
    </row>
    <row r="10" spans="1:13" s="7" customFormat="1" ht="12" customHeight="1" x14ac:dyDescent="0.35"/>
    <row r="11" spans="1:13" ht="12" customHeight="1" x14ac:dyDescent="0.4">
      <c r="A11" s="14">
        <f>MAX(A$3:A10)+0.01</f>
        <v>1.01</v>
      </c>
      <c r="B11" s="14"/>
      <c r="C11" s="14" t="s">
        <v>39</v>
      </c>
      <c r="D11" s="14"/>
      <c r="E11" s="14"/>
      <c r="F11" s="14"/>
      <c r="G11" s="14"/>
      <c r="H11" s="14"/>
      <c r="I11" s="14"/>
      <c r="J11" s="14"/>
      <c r="K11" s="14"/>
      <c r="L11" s="14"/>
    </row>
    <row r="12" spans="1:13" ht="12" customHeight="1" x14ac:dyDescent="0.4">
      <c r="A12" s="12"/>
      <c r="B12" s="12"/>
      <c r="C12" s="28"/>
      <c r="D12" s="12"/>
      <c r="E12" s="12"/>
      <c r="F12" s="13"/>
      <c r="G12" s="12"/>
      <c r="H12" s="12"/>
      <c r="I12" s="12"/>
      <c r="J12" s="12"/>
      <c r="K12" s="12"/>
      <c r="L12" s="12"/>
    </row>
    <row r="13" spans="1:13" ht="12" customHeight="1" x14ac:dyDescent="0.4">
      <c r="A13" s="7"/>
      <c r="B13" s="7"/>
      <c r="C13" s="10" t="s">
        <v>40</v>
      </c>
      <c r="D13" s="7"/>
      <c r="E13" s="15"/>
      <c r="F13" s="8"/>
      <c r="G13" s="7"/>
      <c r="H13" s="7"/>
      <c r="I13" s="7"/>
      <c r="J13" s="7"/>
      <c r="K13" s="7"/>
      <c r="L13" s="7"/>
    </row>
    <row r="14" spans="1:13" ht="12" customHeight="1" x14ac:dyDescent="0.4">
      <c r="A14" s="7"/>
      <c r="B14" s="7"/>
      <c r="C14" s="10"/>
      <c r="D14" s="7" t="s">
        <v>41</v>
      </c>
      <c r="E14" s="15"/>
      <c r="F14" s="8" t="s">
        <v>17</v>
      </c>
      <c r="G14" s="7"/>
      <c r="H14" s="7"/>
      <c r="I14" s="7"/>
      <c r="J14" s="30">
        <v>25000000</v>
      </c>
      <c r="K14" s="7"/>
      <c r="L14" s="7"/>
    </row>
    <row r="15" spans="1:13" ht="12" customHeight="1" x14ac:dyDescent="0.4">
      <c r="A15" s="7"/>
      <c r="B15" s="7"/>
      <c r="C15" s="10"/>
      <c r="D15" s="7" t="s">
        <v>118</v>
      </c>
      <c r="E15" s="15"/>
      <c r="F15" s="8"/>
      <c r="G15" s="7"/>
      <c r="H15" s="7"/>
      <c r="I15" s="7"/>
      <c r="J15" s="30" t="b">
        <v>0</v>
      </c>
      <c r="K15" s="7"/>
      <c r="L15" s="7" t="s">
        <v>120</v>
      </c>
      <c r="M15" s="3" t="s">
        <v>119</v>
      </c>
    </row>
    <row r="16" spans="1:13" ht="12" customHeight="1" x14ac:dyDescent="0.4">
      <c r="A16" s="7"/>
      <c r="B16" s="7"/>
      <c r="C16" s="10"/>
      <c r="D16" s="7" t="s">
        <v>44</v>
      </c>
      <c r="E16" s="15"/>
      <c r="F16" s="8" t="s">
        <v>42</v>
      </c>
      <c r="G16" s="7"/>
      <c r="H16" s="7"/>
      <c r="I16" s="7"/>
      <c r="J16" s="54" cm="1">
        <f t="array" ref="J16:J17">IF(J15,M16:M17,L16:L17)</f>
        <v>3000000</v>
      </c>
      <c r="K16" s="7"/>
      <c r="L16" s="30">
        <v>3000000</v>
      </c>
      <c r="M16" s="30">
        <v>3000000000</v>
      </c>
    </row>
    <row r="17" spans="1:13" ht="12" customHeight="1" x14ac:dyDescent="0.4">
      <c r="A17" s="7"/>
      <c r="B17" s="7"/>
      <c r="C17" s="10"/>
      <c r="D17" s="7" t="s">
        <v>45</v>
      </c>
      <c r="E17" s="15"/>
      <c r="F17" s="8" t="s">
        <v>43</v>
      </c>
      <c r="G17" s="7"/>
      <c r="H17" s="7"/>
      <c r="I17" s="7"/>
      <c r="J17" s="55">
        <v>0.08</v>
      </c>
      <c r="K17" s="7"/>
      <c r="L17" s="19">
        <v>0.08</v>
      </c>
      <c r="M17" s="19">
        <v>8.6300000000000002E-2</v>
      </c>
    </row>
    <row r="18" spans="1:13" ht="12" customHeight="1" x14ac:dyDescent="0.4">
      <c r="A18" s="7"/>
      <c r="B18" s="7"/>
      <c r="C18" s="10"/>
      <c r="D18" s="7"/>
      <c r="E18" s="15"/>
      <c r="F18" s="8"/>
      <c r="G18" s="7"/>
      <c r="H18" s="7"/>
      <c r="I18" s="7"/>
      <c r="J18" s="7"/>
      <c r="K18" s="7"/>
      <c r="L18" s="7"/>
    </row>
    <row r="19" spans="1:13" ht="12" customHeight="1" x14ac:dyDescent="0.4">
      <c r="A19" s="7"/>
      <c r="B19" s="7"/>
      <c r="C19" s="10" t="s">
        <v>47</v>
      </c>
      <c r="D19" s="7"/>
      <c r="E19" s="15"/>
      <c r="F19" s="8"/>
      <c r="G19" s="7"/>
      <c r="H19" s="7"/>
      <c r="I19" s="7"/>
      <c r="J19" s="7"/>
      <c r="K19" s="7"/>
      <c r="L19" s="7"/>
    </row>
    <row r="20" spans="1:13" ht="12" customHeight="1" x14ac:dyDescent="0.4">
      <c r="A20" s="7"/>
      <c r="B20" s="7"/>
      <c r="C20" s="10"/>
      <c r="D20" s="7" t="s">
        <v>48</v>
      </c>
      <c r="E20" s="15"/>
      <c r="F20" s="8" t="s">
        <v>3</v>
      </c>
      <c r="G20" s="7"/>
      <c r="H20" s="7"/>
      <c r="I20" s="7"/>
      <c r="J20" s="19">
        <v>0.6</v>
      </c>
      <c r="K20" s="7"/>
      <c r="L20" s="7"/>
    </row>
    <row r="21" spans="1:13" ht="12" customHeight="1" x14ac:dyDescent="0.4">
      <c r="A21" s="7"/>
      <c r="B21" s="7"/>
      <c r="C21" s="10"/>
      <c r="D21" s="7"/>
      <c r="E21" s="15"/>
      <c r="F21" s="8"/>
      <c r="G21" s="7"/>
      <c r="H21" s="7"/>
      <c r="I21" s="7"/>
      <c r="J21" s="7"/>
      <c r="K21" s="7"/>
      <c r="L21" s="7"/>
    </row>
    <row r="22" spans="1:13" ht="12" customHeight="1" x14ac:dyDescent="0.4">
      <c r="A22" s="7"/>
      <c r="B22" s="7"/>
      <c r="C22" s="10" t="s">
        <v>49</v>
      </c>
      <c r="D22" s="7"/>
      <c r="E22" s="15"/>
      <c r="F22" s="8"/>
      <c r="G22" s="7"/>
      <c r="H22" s="7"/>
      <c r="I22" s="7"/>
      <c r="J22" s="7"/>
      <c r="K22" s="7"/>
      <c r="L22" s="7"/>
    </row>
    <row r="23" spans="1:13" ht="12" customHeight="1" x14ac:dyDescent="0.4">
      <c r="A23" s="7"/>
      <c r="B23" s="7"/>
      <c r="C23" s="10"/>
      <c r="D23" s="7" t="s">
        <v>41</v>
      </c>
      <c r="E23" s="15"/>
      <c r="F23" s="8" t="s">
        <v>17</v>
      </c>
      <c r="G23" s="7"/>
      <c r="H23" s="7"/>
      <c r="I23" s="7"/>
      <c r="J23" s="30">
        <v>3000000</v>
      </c>
      <c r="K23" s="7"/>
      <c r="L23" s="7"/>
    </row>
    <row r="24" spans="1:13" ht="12" customHeight="1" x14ac:dyDescent="0.4">
      <c r="A24" s="7"/>
      <c r="B24" s="7"/>
      <c r="C24" s="10"/>
      <c r="D24" s="7" t="s">
        <v>50</v>
      </c>
      <c r="E24" s="15"/>
      <c r="F24" s="8" t="s">
        <v>42</v>
      </c>
      <c r="G24" s="7"/>
      <c r="H24" s="7"/>
      <c r="I24" s="7"/>
      <c r="J24" s="19">
        <v>7.0000000000000007E-2</v>
      </c>
      <c r="K24" s="7"/>
      <c r="L24" s="7"/>
    </row>
    <row r="25" spans="1:13" ht="12" customHeight="1" x14ac:dyDescent="0.4">
      <c r="A25" s="7"/>
      <c r="B25" s="7"/>
      <c r="C25" s="10"/>
      <c r="D25" s="7"/>
      <c r="E25" s="15"/>
      <c r="F25" s="8"/>
      <c r="G25" s="7"/>
      <c r="H25" s="7"/>
      <c r="I25" s="7"/>
      <c r="J25" s="7"/>
      <c r="K25" s="7"/>
      <c r="L25" s="7"/>
    </row>
    <row r="26" spans="1:13" ht="12" customHeight="1" x14ac:dyDescent="0.4">
      <c r="A26" s="7"/>
      <c r="B26" s="7"/>
      <c r="C26" s="10" t="s">
        <v>51</v>
      </c>
      <c r="D26" s="7"/>
      <c r="E26" s="15"/>
      <c r="F26" s="8"/>
      <c r="G26" s="7"/>
      <c r="H26" s="7"/>
      <c r="I26" s="7"/>
      <c r="J26" s="7"/>
      <c r="K26" s="7"/>
      <c r="L26" s="7"/>
    </row>
    <row r="27" spans="1:13" ht="12" customHeight="1" x14ac:dyDescent="0.4">
      <c r="A27" s="7"/>
      <c r="B27" s="7"/>
      <c r="C27" s="10"/>
      <c r="D27" s="7" t="s">
        <v>52</v>
      </c>
      <c r="E27" s="15"/>
      <c r="F27" s="8" t="s">
        <v>17</v>
      </c>
      <c r="G27" s="7"/>
      <c r="H27" s="7"/>
      <c r="I27" s="7"/>
      <c r="J27" s="30">
        <v>40000000</v>
      </c>
      <c r="K27" s="7"/>
      <c r="L27" s="7"/>
    </row>
    <row r="28" spans="1:13" ht="12" customHeight="1" x14ac:dyDescent="0.4">
      <c r="A28" s="7"/>
      <c r="B28" s="7"/>
      <c r="C28" s="10"/>
      <c r="D28" s="7" t="s">
        <v>53</v>
      </c>
      <c r="E28" s="15"/>
      <c r="F28" s="8" t="s">
        <v>13</v>
      </c>
      <c r="G28" s="7"/>
      <c r="H28" s="7"/>
      <c r="I28" s="7"/>
      <c r="J28" s="30">
        <v>10</v>
      </c>
      <c r="K28" s="7"/>
      <c r="L28" s="7"/>
    </row>
    <row r="29" spans="1:13" ht="12" customHeight="1" x14ac:dyDescent="0.4">
      <c r="A29" s="7"/>
      <c r="B29" s="7"/>
      <c r="C29" s="10"/>
      <c r="D29" s="7"/>
      <c r="E29" s="15"/>
      <c r="F29" s="8"/>
      <c r="G29" s="7"/>
      <c r="H29" s="7"/>
      <c r="I29" s="7"/>
      <c r="J29" s="7"/>
      <c r="K29" s="7"/>
      <c r="L29" s="7"/>
    </row>
    <row r="30" spans="1:13" ht="12" customHeight="1" x14ac:dyDescent="0.4">
      <c r="A30" s="7"/>
      <c r="B30" s="7"/>
      <c r="C30" s="10" t="s">
        <v>54</v>
      </c>
      <c r="D30" s="7"/>
      <c r="E30" s="15"/>
      <c r="F30" s="8"/>
      <c r="G30" s="7"/>
      <c r="H30" s="7"/>
      <c r="I30" s="7"/>
      <c r="J30" s="7"/>
      <c r="K30" s="7"/>
      <c r="L30" s="7"/>
    </row>
    <row r="31" spans="1:13" ht="12" customHeight="1" x14ac:dyDescent="0.4">
      <c r="A31" s="7"/>
      <c r="B31" s="7"/>
      <c r="C31" s="10"/>
      <c r="D31" s="7" t="s">
        <v>52</v>
      </c>
      <c r="E31" s="15"/>
      <c r="F31" s="8" t="s">
        <v>17</v>
      </c>
      <c r="G31" s="7"/>
      <c r="H31" s="7"/>
      <c r="I31" s="7"/>
      <c r="J31" s="30">
        <v>10000000</v>
      </c>
      <c r="K31" s="7"/>
      <c r="L31" s="7"/>
    </row>
    <row r="32" spans="1:13" ht="12" customHeight="1" x14ac:dyDescent="0.4">
      <c r="A32" s="7"/>
      <c r="B32" s="7"/>
      <c r="C32" s="10"/>
      <c r="D32" s="7" t="s">
        <v>53</v>
      </c>
      <c r="E32" s="15"/>
      <c r="F32" s="8" t="s">
        <v>13</v>
      </c>
      <c r="G32" s="7"/>
      <c r="H32" s="7"/>
      <c r="I32" s="7"/>
      <c r="J32" s="30">
        <v>5</v>
      </c>
      <c r="K32" s="7"/>
      <c r="L32" s="7"/>
    </row>
    <row r="33" spans="1:12" ht="12" customHeight="1" x14ac:dyDescent="0.4">
      <c r="A33" s="7"/>
      <c r="B33" s="7"/>
      <c r="C33" s="10"/>
      <c r="D33" s="7" t="s">
        <v>55</v>
      </c>
      <c r="E33" s="15"/>
      <c r="F33" s="8" t="s">
        <v>67</v>
      </c>
      <c r="G33" s="7"/>
      <c r="H33" s="7"/>
      <c r="I33" s="7"/>
      <c r="J33" s="30">
        <v>4</v>
      </c>
      <c r="K33" s="7"/>
      <c r="L33" s="7"/>
    </row>
    <row r="34" spans="1:12" ht="12" customHeight="1" x14ac:dyDescent="0.4">
      <c r="A34" s="7"/>
      <c r="B34" s="7"/>
      <c r="C34" s="10"/>
      <c r="D34" s="7" t="s">
        <v>56</v>
      </c>
      <c r="E34" s="15"/>
      <c r="F34" s="8" t="s">
        <v>3</v>
      </c>
      <c r="G34" s="7"/>
      <c r="H34" s="7"/>
      <c r="I34" s="7"/>
      <c r="J34" s="19">
        <v>0.9</v>
      </c>
      <c r="K34" s="7"/>
      <c r="L34" s="7"/>
    </row>
    <row r="35" spans="1:12" ht="12" customHeight="1" x14ac:dyDescent="0.4">
      <c r="A35" s="7"/>
      <c r="B35" s="7"/>
      <c r="C35" s="10"/>
      <c r="D35" s="7"/>
      <c r="E35" s="15"/>
      <c r="F35" s="8"/>
      <c r="G35" s="7"/>
      <c r="H35" s="7"/>
      <c r="I35" s="7"/>
      <c r="J35" s="7"/>
      <c r="K35" s="7"/>
      <c r="L35" s="7"/>
    </row>
    <row r="36" spans="1:12" ht="12" customHeight="1" x14ac:dyDescent="0.4">
      <c r="A36" s="7"/>
      <c r="B36" s="7"/>
      <c r="C36" s="10" t="s">
        <v>12</v>
      </c>
      <c r="D36" s="7"/>
      <c r="E36" s="15"/>
      <c r="F36" s="8"/>
      <c r="G36" s="7"/>
      <c r="H36" s="7"/>
      <c r="I36" s="7"/>
      <c r="J36" s="7"/>
      <c r="K36" s="7"/>
      <c r="L36" s="7"/>
    </row>
    <row r="37" spans="1:12" ht="12" customHeight="1" x14ac:dyDescent="0.4">
      <c r="A37" s="7"/>
      <c r="B37" s="7"/>
      <c r="C37" s="10"/>
      <c r="D37" s="7" t="s">
        <v>10</v>
      </c>
      <c r="E37" s="15"/>
      <c r="F37" s="8" t="s">
        <v>68</v>
      </c>
      <c r="G37" s="7"/>
      <c r="H37" s="7"/>
      <c r="I37" s="7"/>
      <c r="J37" s="19">
        <v>0.1</v>
      </c>
      <c r="K37" s="7"/>
      <c r="L37" s="7"/>
    </row>
    <row r="38" spans="1:12" ht="12" customHeight="1" x14ac:dyDescent="0.4">
      <c r="A38" s="7"/>
      <c r="B38" s="7"/>
      <c r="C38" s="10"/>
      <c r="D38" s="7" t="s">
        <v>5</v>
      </c>
      <c r="E38" s="15"/>
      <c r="F38" s="8" t="s">
        <v>69</v>
      </c>
      <c r="G38" s="7"/>
      <c r="H38" s="7"/>
      <c r="I38" s="7"/>
      <c r="J38" s="19">
        <v>0.3</v>
      </c>
      <c r="K38" s="7"/>
      <c r="L38" s="7"/>
    </row>
    <row r="39" spans="1:12" ht="12" customHeight="1" x14ac:dyDescent="0.4">
      <c r="A39" s="7"/>
      <c r="B39" s="7"/>
      <c r="C39" s="10"/>
      <c r="D39" s="7" t="s">
        <v>57</v>
      </c>
      <c r="E39" s="15"/>
      <c r="F39" s="8" t="s">
        <v>69</v>
      </c>
      <c r="G39" s="7"/>
      <c r="H39" s="7"/>
      <c r="I39" s="7"/>
      <c r="J39" s="19">
        <v>0.12</v>
      </c>
      <c r="K39" s="7"/>
      <c r="L39" s="7"/>
    </row>
    <row r="40" spans="1:12" ht="12" customHeight="1" x14ac:dyDescent="0.4">
      <c r="A40" s="7"/>
      <c r="B40" s="7"/>
      <c r="C40" s="10"/>
      <c r="D40" s="7" t="s">
        <v>58</v>
      </c>
      <c r="E40" s="15"/>
      <c r="F40" s="8" t="s">
        <v>70</v>
      </c>
      <c r="G40" s="7"/>
      <c r="H40" s="7"/>
      <c r="I40" s="7"/>
      <c r="J40" s="19">
        <v>0.15</v>
      </c>
      <c r="K40" s="7"/>
      <c r="L40" s="7"/>
    </row>
    <row r="41" spans="1:12" ht="12" customHeight="1" x14ac:dyDescent="0.4">
      <c r="A41" s="7"/>
      <c r="B41" s="7"/>
      <c r="C41" s="10"/>
      <c r="D41" s="7"/>
      <c r="E41" s="15"/>
      <c r="F41" s="8"/>
      <c r="G41" s="7"/>
      <c r="H41" s="7"/>
      <c r="I41" s="7"/>
      <c r="J41" s="7"/>
      <c r="K41" s="7"/>
      <c r="L41" s="7"/>
    </row>
    <row r="42" spans="1:12" ht="12" customHeight="1" x14ac:dyDescent="0.4">
      <c r="A42" s="7"/>
      <c r="B42" s="7"/>
      <c r="C42" s="10" t="s">
        <v>59</v>
      </c>
      <c r="D42" s="7"/>
      <c r="E42" s="15"/>
      <c r="F42" s="8"/>
      <c r="G42" s="7"/>
      <c r="H42" s="7"/>
      <c r="I42" s="7"/>
      <c r="J42" s="7"/>
      <c r="K42" s="7"/>
      <c r="L42" s="7"/>
    </row>
    <row r="43" spans="1:12" ht="12" customHeight="1" x14ac:dyDescent="0.4">
      <c r="A43" s="7"/>
      <c r="B43" s="7"/>
      <c r="C43" s="10"/>
      <c r="D43" s="7" t="s">
        <v>60</v>
      </c>
      <c r="E43" s="15"/>
      <c r="F43" s="8" t="s">
        <v>43</v>
      </c>
      <c r="G43" s="7"/>
      <c r="H43" s="7"/>
      <c r="I43" s="7"/>
      <c r="J43" s="19">
        <v>6.5000000000000002E-2</v>
      </c>
      <c r="K43" s="7"/>
      <c r="L43" s="7"/>
    </row>
    <row r="44" spans="1:12" ht="12" customHeight="1" x14ac:dyDescent="0.4">
      <c r="A44" s="7"/>
      <c r="B44" s="7"/>
      <c r="C44" s="10"/>
      <c r="D44" s="7" t="s">
        <v>61</v>
      </c>
      <c r="E44" s="15"/>
      <c r="F44" s="8" t="s">
        <v>17</v>
      </c>
      <c r="G44" s="7"/>
      <c r="H44" s="7"/>
      <c r="I44" s="7"/>
      <c r="J44" s="30">
        <v>20000000</v>
      </c>
      <c r="K44" s="7"/>
      <c r="L44" s="7"/>
    </row>
    <row r="45" spans="1:12" ht="12" customHeight="1" x14ac:dyDescent="0.4">
      <c r="A45" s="7"/>
      <c r="B45" s="7"/>
      <c r="C45" s="10"/>
      <c r="D45" s="7" t="s">
        <v>62</v>
      </c>
      <c r="E45" s="15"/>
      <c r="F45" s="8" t="s">
        <v>42</v>
      </c>
      <c r="G45" s="7"/>
      <c r="H45" s="7"/>
      <c r="I45" s="7"/>
      <c r="J45" s="30">
        <v>2500000</v>
      </c>
      <c r="K45" s="7"/>
      <c r="L45" s="7"/>
    </row>
    <row r="46" spans="1:12" ht="12" customHeight="1" x14ac:dyDescent="0.4">
      <c r="A46" s="7"/>
      <c r="B46" s="7"/>
      <c r="C46" s="10"/>
      <c r="D46" s="7"/>
      <c r="E46" s="15"/>
      <c r="F46" s="8"/>
      <c r="G46" s="7"/>
      <c r="H46" s="7"/>
      <c r="I46" s="7"/>
      <c r="J46" s="7"/>
      <c r="K46" s="7"/>
      <c r="L46" s="7"/>
    </row>
    <row r="47" spans="1:12" ht="12" customHeight="1" x14ac:dyDescent="0.4">
      <c r="A47" s="7"/>
      <c r="B47" s="7"/>
      <c r="C47" s="10" t="s">
        <v>63</v>
      </c>
      <c r="D47" s="7"/>
      <c r="E47" s="15"/>
      <c r="F47" s="8"/>
      <c r="G47" s="7"/>
      <c r="H47" s="7"/>
      <c r="I47" s="7"/>
      <c r="J47" s="7"/>
      <c r="K47" s="7"/>
      <c r="L47" s="7"/>
    </row>
    <row r="48" spans="1:12" ht="12" customHeight="1" x14ac:dyDescent="0.4">
      <c r="A48" s="7"/>
      <c r="B48" s="7"/>
      <c r="C48" s="10"/>
      <c r="D48" s="7" t="s">
        <v>64</v>
      </c>
      <c r="E48" s="15"/>
      <c r="F48" s="8" t="s">
        <v>17</v>
      </c>
      <c r="G48" s="7"/>
      <c r="H48" s="7"/>
      <c r="I48" s="7"/>
      <c r="J48" s="30">
        <v>30000000</v>
      </c>
      <c r="K48" s="7"/>
      <c r="L48" s="7"/>
    </row>
    <row r="49" spans="1:12" ht="12" customHeight="1" x14ac:dyDescent="0.4">
      <c r="A49" s="7"/>
      <c r="B49" s="7"/>
      <c r="C49" s="10"/>
      <c r="D49" s="7" t="s">
        <v>65</v>
      </c>
      <c r="E49" s="15"/>
      <c r="F49" s="8" t="s">
        <v>17</v>
      </c>
      <c r="G49" s="7"/>
      <c r="H49" s="7"/>
      <c r="I49" s="7"/>
      <c r="J49" s="7">
        <f>J31*J34</f>
        <v>9000000</v>
      </c>
      <c r="K49" s="7"/>
      <c r="L49" s="7"/>
    </row>
    <row r="50" spans="1:12" ht="12" customHeight="1" x14ac:dyDescent="0.4">
      <c r="A50" s="7"/>
      <c r="B50" s="7"/>
      <c r="C50" s="10"/>
      <c r="D50" s="7" t="s">
        <v>66</v>
      </c>
      <c r="E50" s="15"/>
      <c r="F50" s="8" t="s">
        <v>67</v>
      </c>
      <c r="G50" s="7"/>
      <c r="H50" s="7"/>
      <c r="I50" s="7"/>
      <c r="J50" s="7">
        <f>J33</f>
        <v>4</v>
      </c>
      <c r="K50" s="7"/>
      <c r="L50" s="7"/>
    </row>
    <row r="51" spans="1:12" ht="12" customHeight="1" x14ac:dyDescent="0.4">
      <c r="A51" s="7"/>
      <c r="B51" s="7"/>
      <c r="C51" s="10"/>
      <c r="D51" s="7"/>
      <c r="E51" s="15"/>
      <c r="F51" s="8"/>
      <c r="G51" s="7"/>
      <c r="H51" s="7"/>
      <c r="I51" s="7"/>
      <c r="J51" s="7"/>
      <c r="K51" s="7"/>
      <c r="L51" s="7"/>
    </row>
    <row r="52" spans="1:12" ht="12" customHeight="1" x14ac:dyDescent="0.4">
      <c r="A52" s="7"/>
      <c r="B52" s="7"/>
      <c r="C52" s="10" t="s">
        <v>71</v>
      </c>
      <c r="D52" s="7"/>
      <c r="E52" s="15"/>
      <c r="F52" s="8"/>
      <c r="G52" s="7"/>
      <c r="H52" s="7"/>
      <c r="I52" s="7"/>
      <c r="J52" s="7"/>
      <c r="K52" s="7"/>
      <c r="L52" s="7"/>
    </row>
    <row r="53" spans="1:12" ht="12" customHeight="1" x14ac:dyDescent="0.4">
      <c r="A53" s="7"/>
      <c r="B53" s="7"/>
      <c r="C53" s="10"/>
      <c r="D53" s="7" t="s">
        <v>72</v>
      </c>
      <c r="E53" s="15"/>
      <c r="F53" s="8" t="s">
        <v>17</v>
      </c>
      <c r="G53" s="7"/>
      <c r="H53" s="7"/>
      <c r="I53" s="7"/>
      <c r="J53" s="30">
        <v>4000000</v>
      </c>
      <c r="K53" s="7"/>
      <c r="L53" s="7"/>
    </row>
    <row r="54" spans="1:12" ht="12" customHeight="1" x14ac:dyDescent="0.4">
      <c r="A54" s="7"/>
      <c r="B54" s="7"/>
      <c r="C54" s="10"/>
      <c r="D54" s="7"/>
      <c r="E54" s="15"/>
      <c r="F54" s="8"/>
      <c r="G54" s="7"/>
      <c r="H54" s="7"/>
      <c r="I54" s="7"/>
      <c r="J54" s="7"/>
      <c r="K54" s="7"/>
      <c r="L54" s="7"/>
    </row>
    <row r="55" spans="1:12" ht="12" customHeight="1" x14ac:dyDescent="0.4">
      <c r="A55" s="7"/>
      <c r="B55" s="7"/>
      <c r="C55" s="10" t="s">
        <v>73</v>
      </c>
      <c r="D55" s="7"/>
      <c r="E55" s="15"/>
      <c r="F55" s="8"/>
      <c r="G55" s="7"/>
      <c r="H55" s="7"/>
      <c r="I55" s="7"/>
      <c r="J55" s="7"/>
      <c r="K55" s="7"/>
      <c r="L55" s="7"/>
    </row>
    <row r="56" spans="1:12" ht="12" customHeight="1" x14ac:dyDescent="0.4">
      <c r="A56" s="7"/>
      <c r="B56" s="7"/>
      <c r="C56" s="10"/>
      <c r="D56" s="7" t="s">
        <v>74</v>
      </c>
      <c r="E56" s="15"/>
      <c r="F56" s="8" t="s">
        <v>17</v>
      </c>
      <c r="G56" s="7"/>
      <c r="H56" s="7"/>
      <c r="I56" s="7"/>
      <c r="J56" s="30">
        <v>3000000</v>
      </c>
      <c r="K56" s="7"/>
      <c r="L56" s="7"/>
    </row>
    <row r="57" spans="1:12" ht="12" customHeight="1" x14ac:dyDescent="0.4">
      <c r="A57" s="7"/>
      <c r="B57" s="7"/>
      <c r="C57" s="10"/>
      <c r="D57" s="7" t="s">
        <v>10</v>
      </c>
      <c r="E57" s="15"/>
      <c r="F57" s="8" t="s">
        <v>17</v>
      </c>
      <c r="G57" s="7"/>
      <c r="H57" s="7"/>
      <c r="I57" s="7"/>
      <c r="J57" s="30">
        <v>3000000</v>
      </c>
      <c r="K57" s="7"/>
      <c r="L57" s="7"/>
    </row>
    <row r="58" spans="1:12" ht="12" customHeight="1" x14ac:dyDescent="0.4">
      <c r="A58" s="7"/>
      <c r="B58" s="7"/>
      <c r="C58" s="10"/>
      <c r="D58" s="7" t="s">
        <v>5</v>
      </c>
      <c r="E58" s="15"/>
      <c r="F58" s="8" t="s">
        <v>17</v>
      </c>
      <c r="G58" s="7"/>
      <c r="H58" s="7"/>
      <c r="I58" s="7"/>
      <c r="J58" s="30">
        <v>4000000</v>
      </c>
      <c r="K58" s="7"/>
      <c r="L58" s="7"/>
    </row>
    <row r="59" spans="1:12" ht="12" customHeight="1" x14ac:dyDescent="0.4">
      <c r="A59" s="7"/>
      <c r="B59" s="7"/>
      <c r="C59" s="10"/>
      <c r="D59" s="7" t="s">
        <v>75</v>
      </c>
      <c r="E59" s="15"/>
      <c r="F59" s="8" t="s">
        <v>17</v>
      </c>
      <c r="G59" s="7"/>
      <c r="H59" s="7"/>
      <c r="I59" s="7"/>
      <c r="J59" s="7">
        <f>J27</f>
        <v>40000000</v>
      </c>
      <c r="K59" s="7"/>
      <c r="L59" s="7"/>
    </row>
    <row r="60" spans="1:12" ht="12" customHeight="1" x14ac:dyDescent="0.4">
      <c r="A60" s="7"/>
      <c r="B60" s="7"/>
      <c r="C60" s="10"/>
      <c r="D60" s="7"/>
      <c r="E60" s="15"/>
      <c r="F60" s="8"/>
      <c r="G60" s="7"/>
      <c r="H60" s="7"/>
      <c r="I60" s="7"/>
      <c r="J60" s="7"/>
      <c r="K60" s="7"/>
      <c r="L60" s="7"/>
    </row>
    <row r="61" spans="1:12" ht="12" customHeight="1" x14ac:dyDescent="0.4">
      <c r="A61" s="7"/>
      <c r="B61" s="7"/>
      <c r="C61" s="10"/>
      <c r="D61" s="7"/>
      <c r="E61" s="7"/>
      <c r="F61" s="8"/>
      <c r="G61" s="7"/>
      <c r="H61" s="7"/>
      <c r="I61" s="7"/>
      <c r="J61" s="7"/>
      <c r="K61" s="7"/>
      <c r="L61" s="7"/>
    </row>
    <row r="62" spans="1:12" ht="12" customHeight="1" x14ac:dyDescent="0.4">
      <c r="A62" s="7"/>
      <c r="B62" s="7"/>
      <c r="C62" s="10"/>
      <c r="D62" s="7"/>
      <c r="E62" s="7"/>
      <c r="F62" s="8"/>
      <c r="G62" s="7"/>
      <c r="H62" s="7"/>
      <c r="I62" s="7"/>
      <c r="J62" s="7"/>
      <c r="K62" s="7"/>
      <c r="L62" s="7"/>
    </row>
    <row r="63" spans="1:12" ht="12" customHeight="1" x14ac:dyDescent="0.4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</row>
    <row r="64" spans="1:12" ht="12" customHeight="1" x14ac:dyDescent="0.35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0C0"/>
    <outlinePr summaryBelow="0"/>
  </sheetPr>
  <dimension ref="A1:U125"/>
  <sheetViews>
    <sheetView showGridLines="0" zoomScaleNormal="100" zoomScalePageLayoutView="85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J9" sqref="J9"/>
    </sheetView>
  </sheetViews>
  <sheetFormatPr defaultColWidth="0" defaultRowHeight="12.75" x14ac:dyDescent="0.35"/>
  <cols>
    <col min="1" max="1" width="7.265625" style="3" customWidth="1"/>
    <col min="2" max="2" width="4.73046875" style="3" customWidth="1"/>
    <col min="3" max="3" width="3.73046875" style="16" customWidth="1"/>
    <col min="4" max="4" width="18.3984375" style="16" bestFit="1" customWidth="1"/>
    <col min="5" max="6" width="12.73046875" style="3" customWidth="1"/>
    <col min="7" max="7" width="3.73046875" style="3" customWidth="1"/>
    <col min="8" max="8" width="4.86328125" style="17" bestFit="1" customWidth="1"/>
    <col min="9" max="9" width="12.73046875" style="3" customWidth="1"/>
    <col min="10" max="10" width="15.73046875" style="3" customWidth="1"/>
    <col min="11" max="21" width="12.73046875" style="3" customWidth="1"/>
    <col min="22" max="16384" width="8.86328125" style="3" hidden="1"/>
  </cols>
  <sheetData>
    <row r="1" spans="1:21" ht="22.5" x14ac:dyDescent="0.6">
      <c r="A1" s="2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s="4" customFormat="1" ht="18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 x14ac:dyDescent="0.5">
      <c r="A3" s="5">
        <v>2</v>
      </c>
      <c r="B3" s="2"/>
      <c r="C3" s="6" t="s">
        <v>11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s="7" customFormat="1" ht="12" customHeight="1" x14ac:dyDescent="0.35">
      <c r="H4" s="8"/>
    </row>
    <row r="5" spans="1:21" s="7" customFormat="1" ht="12" customHeight="1" x14ac:dyDescent="0.35">
      <c r="H5" s="8"/>
    </row>
    <row r="6" spans="1:21" s="7" customFormat="1" ht="12" customHeight="1" x14ac:dyDescent="0.45">
      <c r="D6" s="9"/>
      <c r="E6" s="10" t="s">
        <v>18</v>
      </c>
      <c r="H6" s="8"/>
      <c r="K6" s="38"/>
      <c r="L6" s="11">
        <f t="shared" ref="L6:U6" si="0">K7+1</f>
        <v>42370</v>
      </c>
      <c r="M6" s="26">
        <f t="shared" si="0"/>
        <v>42736</v>
      </c>
      <c r="N6" s="11">
        <f t="shared" si="0"/>
        <v>43101</v>
      </c>
      <c r="O6" s="11">
        <f t="shared" si="0"/>
        <v>43466</v>
      </c>
      <c r="P6" s="11">
        <f t="shared" si="0"/>
        <v>43831</v>
      </c>
      <c r="Q6" s="11">
        <f t="shared" si="0"/>
        <v>44197</v>
      </c>
      <c r="R6" s="11">
        <f t="shared" si="0"/>
        <v>44562</v>
      </c>
      <c r="S6" s="11">
        <f t="shared" si="0"/>
        <v>44927</v>
      </c>
      <c r="T6" s="11">
        <f t="shared" si="0"/>
        <v>45292</v>
      </c>
      <c r="U6" s="11">
        <f t="shared" si="0"/>
        <v>45658</v>
      </c>
    </row>
    <row r="7" spans="1:21" s="7" customFormat="1" ht="12" customHeight="1" x14ac:dyDescent="0.45">
      <c r="D7" s="9"/>
      <c r="E7" s="10" t="s">
        <v>19</v>
      </c>
      <c r="H7" s="8" t="s">
        <v>0</v>
      </c>
      <c r="J7" s="7" t="s">
        <v>1</v>
      </c>
      <c r="K7" s="38">
        <v>42369</v>
      </c>
      <c r="L7" s="11">
        <f t="shared" ref="L7:U7" si="1">EOMONTH(K7,12)</f>
        <v>42735</v>
      </c>
      <c r="M7" s="26">
        <f t="shared" si="1"/>
        <v>43100</v>
      </c>
      <c r="N7" s="11">
        <f t="shared" si="1"/>
        <v>43465</v>
      </c>
      <c r="O7" s="11">
        <f t="shared" si="1"/>
        <v>43830</v>
      </c>
      <c r="P7" s="11">
        <f t="shared" si="1"/>
        <v>44196</v>
      </c>
      <c r="Q7" s="11">
        <f t="shared" si="1"/>
        <v>44561</v>
      </c>
      <c r="R7" s="11">
        <f t="shared" si="1"/>
        <v>44926</v>
      </c>
      <c r="S7" s="11">
        <f t="shared" si="1"/>
        <v>45291</v>
      </c>
      <c r="T7" s="11">
        <f t="shared" si="1"/>
        <v>45657</v>
      </c>
      <c r="U7" s="11">
        <f t="shared" si="1"/>
        <v>46022</v>
      </c>
    </row>
    <row r="8" spans="1:21" s="7" customFormat="1" ht="12" customHeight="1" x14ac:dyDescent="0.4">
      <c r="E8" s="10" t="s">
        <v>77</v>
      </c>
      <c r="H8" s="8"/>
      <c r="K8" s="7">
        <v>0</v>
      </c>
      <c r="L8" s="7">
        <f t="shared" ref="L8:U8" si="2">K8+1</f>
        <v>1</v>
      </c>
      <c r="M8" s="12">
        <f t="shared" si="2"/>
        <v>2</v>
      </c>
      <c r="N8" s="7">
        <f t="shared" si="2"/>
        <v>3</v>
      </c>
      <c r="O8" s="7">
        <f t="shared" si="2"/>
        <v>4</v>
      </c>
      <c r="P8" s="7">
        <f t="shared" si="2"/>
        <v>5</v>
      </c>
      <c r="Q8" s="7">
        <f t="shared" si="2"/>
        <v>6</v>
      </c>
      <c r="R8" s="7">
        <f t="shared" si="2"/>
        <v>7</v>
      </c>
      <c r="S8" s="7">
        <f t="shared" si="2"/>
        <v>8</v>
      </c>
      <c r="T8" s="7">
        <f t="shared" si="2"/>
        <v>9</v>
      </c>
      <c r="U8" s="7">
        <f t="shared" si="2"/>
        <v>10</v>
      </c>
    </row>
    <row r="9" spans="1:21" s="7" customFormat="1" ht="12" customHeight="1" x14ac:dyDescent="0.4">
      <c r="E9" s="10"/>
      <c r="H9" s="8"/>
      <c r="M9" s="12"/>
    </row>
    <row r="10" spans="1:21" s="7" customFormat="1" ht="12" customHeight="1" x14ac:dyDescent="0.4">
      <c r="E10" s="10"/>
      <c r="H10" s="8"/>
      <c r="K10" s="20"/>
      <c r="L10" s="20"/>
      <c r="M10" s="27"/>
      <c r="N10" s="20"/>
      <c r="O10" s="20"/>
      <c r="P10" s="20"/>
      <c r="Q10" s="20"/>
      <c r="R10" s="20"/>
      <c r="S10" s="20"/>
      <c r="T10" s="20"/>
      <c r="U10" s="20"/>
    </row>
    <row r="11" spans="1:21" ht="12" customHeight="1" x14ac:dyDescent="0.4">
      <c r="A11" s="14">
        <f>MAX(A$3:A10)+0.01</f>
        <v>2.0099999999999998</v>
      </c>
      <c r="B11" s="14"/>
      <c r="C11" s="14" t="s">
        <v>78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12" customHeight="1" x14ac:dyDescent="0.4">
      <c r="A12" s="12"/>
      <c r="B12" s="12"/>
      <c r="C12" s="28"/>
      <c r="D12" s="12"/>
      <c r="E12" s="12"/>
      <c r="F12" s="12"/>
      <c r="G12" s="12"/>
      <c r="H12" s="13"/>
      <c r="I12" s="32"/>
      <c r="J12" s="3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12" customHeight="1" x14ac:dyDescent="0.4">
      <c r="A13" s="7"/>
      <c r="B13" s="7"/>
      <c r="C13" s="10"/>
      <c r="D13" s="7"/>
      <c r="E13" s="39"/>
      <c r="F13" s="25">
        <f>Assumptions!J16</f>
        <v>3000000</v>
      </c>
      <c r="G13" s="7"/>
      <c r="H13" s="8"/>
      <c r="I13" s="31"/>
      <c r="J13" s="31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2" customHeight="1" x14ac:dyDescent="0.4">
      <c r="A14" s="7"/>
      <c r="B14" s="7"/>
      <c r="C14" s="10"/>
      <c r="D14" s="7" t="s">
        <v>40</v>
      </c>
      <c r="E14" s="39">
        <f>Assumptions!J14</f>
        <v>25000000</v>
      </c>
      <c r="F14" s="40">
        <f>Assumptions!J17</f>
        <v>0.08</v>
      </c>
      <c r="G14" s="7"/>
      <c r="H14" s="8" t="s">
        <v>17</v>
      </c>
      <c r="I14" s="31"/>
      <c r="J14" s="31"/>
      <c r="K14" s="7"/>
      <c r="L14" s="24">
        <f>E14</f>
        <v>25000000</v>
      </c>
      <c r="M14" s="12">
        <f>MIN(L14+$F13,L14*(1+$F14))</f>
        <v>27000000</v>
      </c>
      <c r="N14" s="12">
        <f t="shared" ref="N14:U14" si="3">MIN(M14+$F13,M14*(1+$F14))</f>
        <v>29160000.000000004</v>
      </c>
      <c r="O14" s="12">
        <f t="shared" si="3"/>
        <v>31492800.000000007</v>
      </c>
      <c r="P14" s="12">
        <f t="shared" si="3"/>
        <v>34012224.000000007</v>
      </c>
      <c r="Q14" s="12">
        <f t="shared" si="3"/>
        <v>36733201.920000009</v>
      </c>
      <c r="R14" s="12">
        <f t="shared" si="3"/>
        <v>39671858.073600009</v>
      </c>
      <c r="S14" s="12">
        <f t="shared" si="3"/>
        <v>42671858.073600009</v>
      </c>
      <c r="T14" s="12">
        <f t="shared" si="3"/>
        <v>45671858.073600009</v>
      </c>
      <c r="U14" s="12">
        <f t="shared" si="3"/>
        <v>48671858.073600009</v>
      </c>
    </row>
    <row r="15" spans="1:21" ht="12" customHeight="1" x14ac:dyDescent="0.4">
      <c r="A15" s="7"/>
      <c r="B15" s="7"/>
      <c r="C15" s="10"/>
      <c r="D15" s="7"/>
      <c r="E15" s="15"/>
      <c r="F15" s="7"/>
      <c r="G15" s="7"/>
      <c r="H15" s="8"/>
      <c r="I15" s="31"/>
      <c r="J15" s="31"/>
      <c r="K15" s="7"/>
      <c r="L15" s="7"/>
      <c r="M15" s="12"/>
      <c r="N15" s="7"/>
      <c r="O15" s="7"/>
      <c r="P15" s="7"/>
      <c r="Q15" s="7"/>
      <c r="R15" s="7"/>
      <c r="S15" s="7"/>
      <c r="T15" s="7"/>
      <c r="U15" s="7"/>
    </row>
    <row r="16" spans="1:21" ht="12" customHeight="1" x14ac:dyDescent="0.4">
      <c r="A16" s="7"/>
      <c r="B16" s="7"/>
      <c r="C16" s="10"/>
      <c r="D16" s="7" t="s">
        <v>46</v>
      </c>
      <c r="E16" s="15"/>
      <c r="F16" s="40">
        <f>Assumptions!J20</f>
        <v>0.6</v>
      </c>
      <c r="G16" s="7"/>
      <c r="H16" s="8" t="s">
        <v>17</v>
      </c>
      <c r="I16" s="31"/>
      <c r="J16" s="31"/>
      <c r="K16" s="7"/>
      <c r="L16" s="7">
        <f>-L14*$F16</f>
        <v>-15000000</v>
      </c>
      <c r="M16" s="7">
        <f t="shared" ref="M16:U16" si="4">-M14*$F16</f>
        <v>-16200000</v>
      </c>
      <c r="N16" s="7">
        <f t="shared" si="4"/>
        <v>-17496000</v>
      </c>
      <c r="O16" s="7">
        <f t="shared" si="4"/>
        <v>-18895680.000000004</v>
      </c>
      <c r="P16" s="7">
        <f t="shared" si="4"/>
        <v>-20407334.400000002</v>
      </c>
      <c r="Q16" s="7">
        <f t="shared" si="4"/>
        <v>-22039921.152000006</v>
      </c>
      <c r="R16" s="7">
        <f t="shared" si="4"/>
        <v>-23803114.844160005</v>
      </c>
      <c r="S16" s="7">
        <f t="shared" si="4"/>
        <v>-25603114.844160005</v>
      </c>
      <c r="T16" s="7">
        <f t="shared" si="4"/>
        <v>-27403114.844160005</v>
      </c>
      <c r="U16" s="7">
        <f t="shared" si="4"/>
        <v>-29203114.844160005</v>
      </c>
    </row>
    <row r="17" spans="1:21" ht="12" customHeight="1" x14ac:dyDescent="0.4">
      <c r="A17" s="7"/>
      <c r="B17" s="7"/>
      <c r="C17" s="10"/>
      <c r="D17" s="7" t="s">
        <v>49</v>
      </c>
      <c r="E17" s="39">
        <f>Assumptions!J23</f>
        <v>3000000</v>
      </c>
      <c r="F17" s="40">
        <f>Assumptions!J24</f>
        <v>7.0000000000000007E-2</v>
      </c>
      <c r="G17" s="7"/>
      <c r="H17" s="8" t="s">
        <v>17</v>
      </c>
      <c r="I17" s="31"/>
      <c r="J17" s="31"/>
      <c r="K17" s="7"/>
      <c r="L17" s="24">
        <f>-E17</f>
        <v>-3000000</v>
      </c>
      <c r="M17" s="12">
        <f>L17*(1+$F17)</f>
        <v>-3210000</v>
      </c>
      <c r="N17" s="12">
        <f t="shared" ref="N17:U17" si="5">M17*(1+$F17)</f>
        <v>-3434700</v>
      </c>
      <c r="O17" s="12">
        <f t="shared" si="5"/>
        <v>-3675129</v>
      </c>
      <c r="P17" s="12">
        <f t="shared" si="5"/>
        <v>-3932388.0300000003</v>
      </c>
      <c r="Q17" s="12">
        <f t="shared" si="5"/>
        <v>-4207655.1921000006</v>
      </c>
      <c r="R17" s="12">
        <f t="shared" si="5"/>
        <v>-4502191.0555470008</v>
      </c>
      <c r="S17" s="12">
        <f t="shared" si="5"/>
        <v>-4817344.4294352913</v>
      </c>
      <c r="T17" s="12">
        <f t="shared" si="5"/>
        <v>-5154558.5394957624</v>
      </c>
      <c r="U17" s="12">
        <f t="shared" si="5"/>
        <v>-5515377.6372604659</v>
      </c>
    </row>
    <row r="18" spans="1:21" ht="12" customHeight="1" x14ac:dyDescent="0.4">
      <c r="A18" s="7"/>
      <c r="B18" s="7"/>
      <c r="C18" s="10"/>
      <c r="D18" s="7"/>
      <c r="E18" s="15"/>
      <c r="F18" s="7"/>
      <c r="G18" s="7"/>
      <c r="H18" s="8"/>
      <c r="I18" s="31"/>
      <c r="J18" s="31"/>
      <c r="K18" s="7"/>
      <c r="L18" s="7"/>
      <c r="M18" s="12"/>
      <c r="N18" s="7"/>
      <c r="O18" s="7"/>
      <c r="P18" s="7"/>
      <c r="Q18" s="7"/>
      <c r="R18" s="7"/>
      <c r="S18" s="7"/>
      <c r="T18" s="7"/>
      <c r="U18" s="7"/>
    </row>
    <row r="19" spans="1:21" ht="12" customHeight="1" x14ac:dyDescent="0.4">
      <c r="A19" s="7"/>
      <c r="B19" s="7"/>
      <c r="C19" s="10"/>
      <c r="D19" s="10" t="s">
        <v>79</v>
      </c>
      <c r="E19" s="15"/>
      <c r="F19" s="7"/>
      <c r="G19" s="7"/>
      <c r="H19" s="8" t="s">
        <v>17</v>
      </c>
      <c r="I19" s="31"/>
      <c r="J19" s="31"/>
      <c r="K19" s="7"/>
      <c r="L19" s="10">
        <f>SUM(L14:L17)</f>
        <v>7000000</v>
      </c>
      <c r="M19" s="10">
        <f t="shared" ref="M19:U19" si="6">SUM(M14:M17)</f>
        <v>7590000</v>
      </c>
      <c r="N19" s="10">
        <f t="shared" si="6"/>
        <v>8229300.0000000037</v>
      </c>
      <c r="O19" s="10">
        <f t="shared" si="6"/>
        <v>8921991.0000000037</v>
      </c>
      <c r="P19" s="10">
        <f t="shared" si="6"/>
        <v>9672501.570000004</v>
      </c>
      <c r="Q19" s="10">
        <f t="shared" si="6"/>
        <v>10485625.575900003</v>
      </c>
      <c r="R19" s="10">
        <f t="shared" si="6"/>
        <v>11366552.173893003</v>
      </c>
      <c r="S19" s="10">
        <f t="shared" si="6"/>
        <v>12251398.800004713</v>
      </c>
      <c r="T19" s="10">
        <f t="shared" si="6"/>
        <v>13114184.689944241</v>
      </c>
      <c r="U19" s="10">
        <f t="shared" si="6"/>
        <v>13953365.592179537</v>
      </c>
    </row>
    <row r="20" spans="1:21" ht="12" customHeight="1" x14ac:dyDescent="0.4">
      <c r="A20" s="7"/>
      <c r="B20" s="7"/>
      <c r="C20" s="10"/>
      <c r="D20" s="7"/>
      <c r="E20" s="15"/>
      <c r="F20" s="7"/>
      <c r="G20" s="7"/>
      <c r="H20" s="8"/>
      <c r="I20" s="31"/>
      <c r="J20" s="31"/>
      <c r="K20" s="7"/>
      <c r="L20" s="7"/>
      <c r="M20" s="12"/>
      <c r="N20" s="7"/>
      <c r="O20" s="7"/>
      <c r="P20" s="7"/>
      <c r="Q20" s="7"/>
      <c r="R20" s="7"/>
      <c r="S20" s="7"/>
      <c r="T20" s="7"/>
      <c r="U20" s="7"/>
    </row>
    <row r="21" spans="1:21" ht="12" customHeight="1" x14ac:dyDescent="0.4">
      <c r="A21" s="7"/>
      <c r="B21" s="7"/>
      <c r="C21" s="10"/>
      <c r="D21" s="7" t="s">
        <v>80</v>
      </c>
      <c r="E21" s="15"/>
      <c r="F21" s="7"/>
      <c r="G21" s="7"/>
      <c r="H21" s="8" t="s">
        <v>17</v>
      </c>
      <c r="I21" s="31"/>
      <c r="J21" s="31"/>
      <c r="K21" s="7"/>
      <c r="L21" s="7">
        <f>L75+L81</f>
        <v>-4000000</v>
      </c>
      <c r="M21" s="7">
        <f t="shared" ref="M21:U21" si="7">M75+M81</f>
        <v>-4000000</v>
      </c>
      <c r="N21" s="7">
        <f t="shared" si="7"/>
        <v>-4000000</v>
      </c>
      <c r="O21" s="7">
        <f t="shared" si="7"/>
        <v>-4000000</v>
      </c>
      <c r="P21" s="7">
        <f t="shared" si="7"/>
        <v>-6000000</v>
      </c>
      <c r="Q21" s="7">
        <f t="shared" si="7"/>
        <v>-6000000</v>
      </c>
      <c r="R21" s="7">
        <f t="shared" si="7"/>
        <v>-6000000</v>
      </c>
      <c r="S21" s="7">
        <f t="shared" si="7"/>
        <v>-6000000</v>
      </c>
      <c r="T21" s="7">
        <f t="shared" si="7"/>
        <v>-6000000</v>
      </c>
      <c r="U21" s="7">
        <f t="shared" si="7"/>
        <v>-4000000</v>
      </c>
    </row>
    <row r="22" spans="1:21" ht="12" customHeight="1" x14ac:dyDescent="0.4">
      <c r="A22" s="7"/>
      <c r="B22" s="7"/>
      <c r="C22" s="10"/>
      <c r="D22" s="7" t="s">
        <v>81</v>
      </c>
      <c r="E22" s="15"/>
      <c r="F22" s="7"/>
      <c r="G22" s="7"/>
      <c r="H22" s="8" t="s">
        <v>17</v>
      </c>
      <c r="I22" s="31"/>
      <c r="J22" s="31"/>
      <c r="K22" s="7"/>
      <c r="L22" s="7">
        <f>-L91</f>
        <v>-1300000</v>
      </c>
      <c r="M22" s="7">
        <f t="shared" ref="M22:U22" si="8">-M91</f>
        <v>-1137500</v>
      </c>
      <c r="N22" s="7">
        <f t="shared" si="8"/>
        <v>-975000</v>
      </c>
      <c r="O22" s="7">
        <f t="shared" si="8"/>
        <v>-812500</v>
      </c>
      <c r="P22" s="7">
        <f t="shared" si="8"/>
        <v>-650000</v>
      </c>
      <c r="Q22" s="7">
        <f t="shared" si="8"/>
        <v>-487500</v>
      </c>
      <c r="R22" s="7">
        <f t="shared" si="8"/>
        <v>-325000</v>
      </c>
      <c r="S22" s="7">
        <f t="shared" si="8"/>
        <v>-162500</v>
      </c>
      <c r="T22" s="7">
        <f t="shared" si="8"/>
        <v>0</v>
      </c>
      <c r="U22" s="7">
        <f t="shared" si="8"/>
        <v>0</v>
      </c>
    </row>
    <row r="23" spans="1:21" ht="12" customHeight="1" x14ac:dyDescent="0.4">
      <c r="A23" s="7"/>
      <c r="B23" s="7"/>
      <c r="C23" s="10"/>
      <c r="D23" s="7"/>
      <c r="E23" s="15"/>
      <c r="F23" s="7"/>
      <c r="G23" s="7"/>
      <c r="H23" s="8"/>
      <c r="I23" s="31"/>
      <c r="J23" s="31"/>
      <c r="K23" s="7"/>
      <c r="L23" s="7"/>
      <c r="M23" s="12"/>
      <c r="N23" s="7"/>
      <c r="O23" s="7"/>
      <c r="P23" s="7"/>
      <c r="Q23" s="7"/>
      <c r="R23" s="7"/>
      <c r="S23" s="7"/>
      <c r="T23" s="7"/>
      <c r="U23" s="7"/>
    </row>
    <row r="24" spans="1:21" ht="12" customHeight="1" x14ac:dyDescent="0.4">
      <c r="A24" s="7"/>
      <c r="B24" s="7"/>
      <c r="C24" s="10"/>
      <c r="D24" s="7" t="s">
        <v>82</v>
      </c>
      <c r="E24" s="15"/>
      <c r="F24" s="7"/>
      <c r="G24" s="7"/>
      <c r="H24" s="8" t="s">
        <v>17</v>
      </c>
      <c r="I24" s="31"/>
      <c r="J24" s="31"/>
      <c r="K24" s="7"/>
      <c r="L24" s="7">
        <f>SUM(L19:L22)</f>
        <v>1700000</v>
      </c>
      <c r="M24" s="7">
        <f t="shared" ref="M24:U24" si="9">SUM(M19:M22)</f>
        <v>2452500</v>
      </c>
      <c r="N24" s="7">
        <f t="shared" si="9"/>
        <v>3254300.0000000037</v>
      </c>
      <c r="O24" s="7">
        <f t="shared" si="9"/>
        <v>4109491.0000000037</v>
      </c>
      <c r="P24" s="7">
        <f t="shared" si="9"/>
        <v>3022501.570000004</v>
      </c>
      <c r="Q24" s="7">
        <f t="shared" si="9"/>
        <v>3998125.5759000033</v>
      </c>
      <c r="R24" s="7">
        <f t="shared" si="9"/>
        <v>5041552.1738930028</v>
      </c>
      <c r="S24" s="7">
        <f t="shared" si="9"/>
        <v>6088898.8000047132</v>
      </c>
      <c r="T24" s="7">
        <f t="shared" si="9"/>
        <v>7114184.6899442412</v>
      </c>
      <c r="U24" s="7">
        <f t="shared" si="9"/>
        <v>9953365.5921795368</v>
      </c>
    </row>
    <row r="25" spans="1:21" ht="12" customHeight="1" x14ac:dyDescent="0.4">
      <c r="A25" s="7"/>
      <c r="B25" s="7"/>
      <c r="C25" s="10"/>
      <c r="D25" s="7"/>
      <c r="E25" s="15"/>
      <c r="F25" s="7"/>
      <c r="G25" s="7"/>
      <c r="H25" s="8"/>
      <c r="I25" s="31"/>
      <c r="J25" s="31"/>
      <c r="K25" s="7"/>
      <c r="L25" s="7"/>
      <c r="M25" s="12"/>
      <c r="N25" s="7"/>
      <c r="O25" s="7"/>
      <c r="P25" s="7"/>
      <c r="Q25" s="7"/>
      <c r="R25" s="7"/>
      <c r="S25" s="7"/>
      <c r="T25" s="7"/>
      <c r="U25" s="7"/>
    </row>
    <row r="26" spans="1:21" ht="12" customHeight="1" x14ac:dyDescent="0.4">
      <c r="A26" s="7"/>
      <c r="B26" s="7"/>
      <c r="C26" s="10"/>
      <c r="D26" s="7" t="s">
        <v>71</v>
      </c>
      <c r="E26" s="15"/>
      <c r="F26" s="7"/>
      <c r="G26" s="7"/>
      <c r="H26" s="8" t="s">
        <v>17</v>
      </c>
      <c r="I26" s="31"/>
      <c r="J26" s="31"/>
      <c r="K26" s="7"/>
      <c r="L26" s="7">
        <f>L67</f>
        <v>-4450000</v>
      </c>
      <c r="M26" s="7">
        <f t="shared" ref="M26:U26" si="10">M67</f>
        <v>-3568000</v>
      </c>
      <c r="N26" s="7">
        <f t="shared" si="10"/>
        <v>-4338725.0000000037</v>
      </c>
      <c r="O26" s="7">
        <f t="shared" si="10"/>
        <v>-4160332.950000003</v>
      </c>
      <c r="P26" s="7">
        <f t="shared" si="10"/>
        <v>-6037050.2325000037</v>
      </c>
      <c r="Q26" s="7">
        <f t="shared" si="10"/>
        <v>-6973452.2428550031</v>
      </c>
      <c r="R26" s="7">
        <f t="shared" si="10"/>
        <v>-7974492.0734612532</v>
      </c>
      <c r="S26" s="7">
        <f t="shared" si="10"/>
        <v>-9012171.8060879558</v>
      </c>
      <c r="T26" s="7">
        <f t="shared" si="10"/>
        <v>-12540766.806453312</v>
      </c>
      <c r="U26" s="7">
        <f t="shared" si="10"/>
        <v>-13383488.45684424</v>
      </c>
    </row>
    <row r="27" spans="1:21" ht="12" customHeight="1" x14ac:dyDescent="0.4">
      <c r="A27" s="7"/>
      <c r="B27" s="7"/>
      <c r="C27" s="10"/>
      <c r="D27" s="7"/>
      <c r="E27" s="15"/>
      <c r="F27" s="7"/>
      <c r="G27" s="7"/>
      <c r="H27" s="8"/>
      <c r="I27" s="31"/>
      <c r="J27" s="31"/>
      <c r="K27" s="7"/>
      <c r="L27" s="7"/>
      <c r="M27" s="12"/>
      <c r="N27" s="7"/>
      <c r="O27" s="7"/>
      <c r="P27" s="7"/>
      <c r="Q27" s="7"/>
      <c r="R27" s="7"/>
      <c r="S27" s="7"/>
      <c r="T27" s="7"/>
      <c r="U27" s="7"/>
    </row>
    <row r="28" spans="1:21" ht="12" customHeight="1" x14ac:dyDescent="0.4">
      <c r="A28" s="7"/>
      <c r="B28" s="7"/>
      <c r="C28" s="10"/>
      <c r="D28" s="7" t="s">
        <v>15</v>
      </c>
      <c r="E28" s="15"/>
      <c r="F28" s="7"/>
      <c r="G28" s="7"/>
      <c r="H28" s="8" t="s">
        <v>17</v>
      </c>
      <c r="I28" s="31"/>
      <c r="J28" s="31"/>
      <c r="K28" s="7"/>
      <c r="L28" s="7">
        <f>SUM(L24:L26)</f>
        <v>-2750000</v>
      </c>
      <c r="M28" s="7">
        <f t="shared" ref="M28:U28" si="11">SUM(M24:M26)</f>
        <v>-1115500</v>
      </c>
      <c r="N28" s="7">
        <f t="shared" si="11"/>
        <v>-1084425</v>
      </c>
      <c r="O28" s="7">
        <f t="shared" si="11"/>
        <v>-50841.949999999255</v>
      </c>
      <c r="P28" s="7">
        <f t="shared" si="11"/>
        <v>-3014548.6624999996</v>
      </c>
      <c r="Q28" s="7">
        <f t="shared" si="11"/>
        <v>-2975326.6669549998</v>
      </c>
      <c r="R28" s="7">
        <f t="shared" si="11"/>
        <v>-2932939.8995682504</v>
      </c>
      <c r="S28" s="7">
        <f t="shared" si="11"/>
        <v>-2923273.0060832426</v>
      </c>
      <c r="T28" s="7">
        <f t="shared" si="11"/>
        <v>-5426582.1165090706</v>
      </c>
      <c r="U28" s="7">
        <f t="shared" si="11"/>
        <v>-3430122.8646647036</v>
      </c>
    </row>
    <row r="29" spans="1:21" ht="12" customHeight="1" x14ac:dyDescent="0.4">
      <c r="A29" s="7"/>
      <c r="B29" s="7"/>
      <c r="C29" s="10"/>
      <c r="D29" s="7"/>
      <c r="E29" s="15"/>
      <c r="F29" s="7"/>
      <c r="G29" s="7"/>
      <c r="H29" s="8"/>
      <c r="I29" s="31"/>
      <c r="J29" s="31"/>
      <c r="K29" s="7"/>
      <c r="L29" s="7"/>
      <c r="M29" s="12"/>
      <c r="N29" s="7"/>
      <c r="O29" s="7"/>
      <c r="P29" s="7"/>
      <c r="Q29" s="7"/>
      <c r="R29" s="7"/>
      <c r="S29" s="7"/>
      <c r="T29" s="7"/>
      <c r="U29" s="7"/>
    </row>
    <row r="30" spans="1:21" ht="12" customHeight="1" x14ac:dyDescent="0.4">
      <c r="A30" s="7"/>
      <c r="B30" s="7"/>
      <c r="C30" s="10"/>
      <c r="D30" s="7"/>
      <c r="E30" s="15"/>
      <c r="F30" s="7"/>
      <c r="G30" s="7"/>
      <c r="H30" s="8"/>
      <c r="I30" s="31"/>
      <c r="J30" s="31"/>
      <c r="K30" s="7"/>
      <c r="L30" s="7"/>
      <c r="M30" s="12"/>
      <c r="N30" s="7"/>
      <c r="O30" s="7"/>
      <c r="P30" s="7"/>
      <c r="Q30" s="7"/>
      <c r="R30" s="7"/>
      <c r="S30" s="7"/>
      <c r="T30" s="7"/>
      <c r="U30" s="7"/>
    </row>
    <row r="31" spans="1:21" ht="12" customHeight="1" x14ac:dyDescent="0.4">
      <c r="A31" s="14">
        <f>MAX(A$3:A30)+0.01</f>
        <v>2.0199999999999996</v>
      </c>
      <c r="B31" s="14"/>
      <c r="C31" s="14" t="s">
        <v>83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 ht="12" customHeight="1" x14ac:dyDescent="0.4">
      <c r="A32" s="7"/>
      <c r="B32" s="7"/>
      <c r="C32" s="10"/>
      <c r="D32" s="7"/>
      <c r="E32" s="15"/>
      <c r="F32" s="7"/>
      <c r="G32" s="7"/>
      <c r="H32" s="8"/>
      <c r="I32" s="7"/>
      <c r="J32" s="7"/>
      <c r="K32" s="7"/>
      <c r="L32" s="7"/>
      <c r="M32" s="12"/>
      <c r="N32" s="7"/>
      <c r="O32" s="7"/>
      <c r="P32" s="7"/>
      <c r="Q32" s="7"/>
      <c r="R32" s="7"/>
      <c r="S32" s="7"/>
      <c r="T32" s="7"/>
      <c r="U32" s="7"/>
    </row>
    <row r="33" spans="1:21" ht="12" customHeight="1" x14ac:dyDescent="0.4">
      <c r="A33" s="7"/>
      <c r="B33" s="7"/>
      <c r="C33" s="10" t="s">
        <v>4</v>
      </c>
      <c r="D33" s="7"/>
      <c r="E33" s="15"/>
      <c r="F33" s="7"/>
      <c r="G33" s="7"/>
      <c r="H33" s="8"/>
      <c r="I33" s="7"/>
      <c r="J33" s="7"/>
      <c r="K33" s="7"/>
      <c r="L33" s="7"/>
      <c r="M33" s="12"/>
      <c r="N33" s="7"/>
      <c r="O33" s="7"/>
      <c r="P33" s="7"/>
      <c r="Q33" s="7"/>
      <c r="R33" s="7"/>
      <c r="S33" s="7"/>
      <c r="T33" s="7"/>
      <c r="U33" s="7"/>
    </row>
    <row r="34" spans="1:21" ht="12" customHeight="1" x14ac:dyDescent="0.4">
      <c r="A34" s="7"/>
      <c r="B34" s="7"/>
      <c r="C34" s="10"/>
      <c r="D34" s="7" t="s">
        <v>74</v>
      </c>
      <c r="E34" s="15"/>
      <c r="F34" s="7"/>
      <c r="G34" s="7"/>
      <c r="H34" s="8" t="s">
        <v>17</v>
      </c>
      <c r="I34" s="7"/>
      <c r="J34" s="7"/>
      <c r="K34" s="24">
        <f>Assumptions!J56</f>
        <v>3000000</v>
      </c>
      <c r="L34" s="12">
        <f t="shared" ref="L34:U34" si="12">L69</f>
        <v>4000000</v>
      </c>
      <c r="M34" s="7">
        <f t="shared" si="12"/>
        <v>4000000</v>
      </c>
      <c r="N34" s="7">
        <f t="shared" si="12"/>
        <v>4000000</v>
      </c>
      <c r="O34" s="7">
        <f t="shared" si="12"/>
        <v>4000000</v>
      </c>
      <c r="P34" s="7">
        <f t="shared" si="12"/>
        <v>4000000</v>
      </c>
      <c r="Q34" s="7">
        <f t="shared" si="12"/>
        <v>4000000</v>
      </c>
      <c r="R34" s="7">
        <f t="shared" si="12"/>
        <v>4000000</v>
      </c>
      <c r="S34" s="7">
        <f t="shared" si="12"/>
        <v>4000000</v>
      </c>
      <c r="T34" s="7">
        <f t="shared" si="12"/>
        <v>4000000</v>
      </c>
      <c r="U34" s="7">
        <f t="shared" si="12"/>
        <v>4000000</v>
      </c>
    </row>
    <row r="35" spans="1:21" ht="12" customHeight="1" x14ac:dyDescent="0.4">
      <c r="A35" s="7"/>
      <c r="B35" s="7"/>
      <c r="C35" s="10"/>
      <c r="D35" s="7" t="s">
        <v>10</v>
      </c>
      <c r="E35" s="40">
        <f>Assumptions!J37</f>
        <v>0.1</v>
      </c>
      <c r="F35" s="7"/>
      <c r="G35" s="7"/>
      <c r="H35" s="8" t="s">
        <v>17</v>
      </c>
      <c r="I35" s="7"/>
      <c r="J35" s="7"/>
      <c r="K35" s="24">
        <f>Assumptions!J57</f>
        <v>3000000</v>
      </c>
      <c r="L35" s="12">
        <f>$E35*L14</f>
        <v>2500000</v>
      </c>
      <c r="M35" s="12">
        <f t="shared" ref="M35:U35" si="13">$E35*M14</f>
        <v>2700000</v>
      </c>
      <c r="N35" s="12">
        <f t="shared" si="13"/>
        <v>2916000.0000000005</v>
      </c>
      <c r="O35" s="12">
        <f t="shared" si="13"/>
        <v>3149280.0000000009</v>
      </c>
      <c r="P35" s="12">
        <f t="shared" si="13"/>
        <v>3401222.4000000008</v>
      </c>
      <c r="Q35" s="12">
        <f t="shared" si="13"/>
        <v>3673320.1920000012</v>
      </c>
      <c r="R35" s="12">
        <f t="shared" si="13"/>
        <v>3967185.8073600009</v>
      </c>
      <c r="S35" s="12">
        <f t="shared" si="13"/>
        <v>4267185.8073600009</v>
      </c>
      <c r="T35" s="12">
        <f t="shared" si="13"/>
        <v>4567185.8073600009</v>
      </c>
      <c r="U35" s="12">
        <f t="shared" si="13"/>
        <v>4867185.8073600009</v>
      </c>
    </row>
    <row r="36" spans="1:21" ht="12" customHeight="1" x14ac:dyDescent="0.4">
      <c r="A36" s="7"/>
      <c r="B36" s="7"/>
      <c r="C36" s="10"/>
      <c r="D36" s="7" t="s">
        <v>5</v>
      </c>
      <c r="E36" s="40">
        <f>Assumptions!J38</f>
        <v>0.3</v>
      </c>
      <c r="F36" s="7"/>
      <c r="G36" s="7"/>
      <c r="H36" s="8" t="s">
        <v>17</v>
      </c>
      <c r="I36" s="7"/>
      <c r="J36" s="7"/>
      <c r="K36" s="24">
        <f>Assumptions!J58</f>
        <v>4000000</v>
      </c>
      <c r="L36" s="12">
        <f>-$E36*L16</f>
        <v>4500000</v>
      </c>
      <c r="M36" s="12">
        <f t="shared" ref="M36:U36" si="14">-$E36*M16</f>
        <v>4860000</v>
      </c>
      <c r="N36" s="12">
        <f t="shared" si="14"/>
        <v>5248800</v>
      </c>
      <c r="O36" s="12">
        <f t="shared" si="14"/>
        <v>5668704.0000000009</v>
      </c>
      <c r="P36" s="12">
        <f t="shared" si="14"/>
        <v>6122200.3200000003</v>
      </c>
      <c r="Q36" s="12">
        <f t="shared" si="14"/>
        <v>6611976.3456000015</v>
      </c>
      <c r="R36" s="12">
        <f t="shared" si="14"/>
        <v>7140934.4532480016</v>
      </c>
      <c r="S36" s="12">
        <f t="shared" si="14"/>
        <v>7680934.4532480016</v>
      </c>
      <c r="T36" s="12">
        <f t="shared" si="14"/>
        <v>8220934.4532480016</v>
      </c>
      <c r="U36" s="12">
        <f t="shared" si="14"/>
        <v>8760934.4532480016</v>
      </c>
    </row>
    <row r="37" spans="1:21" ht="12" customHeight="1" x14ac:dyDescent="0.4">
      <c r="A37" s="7"/>
      <c r="B37" s="7"/>
      <c r="C37" s="10"/>
      <c r="D37" s="7" t="s">
        <v>75</v>
      </c>
      <c r="E37" s="15"/>
      <c r="F37" s="7"/>
      <c r="G37" s="7"/>
      <c r="H37" s="8" t="s">
        <v>17</v>
      </c>
      <c r="I37" s="7"/>
      <c r="J37" s="7"/>
      <c r="K37" s="24">
        <f>Assumptions!J59</f>
        <v>40000000</v>
      </c>
      <c r="L37" s="12">
        <f>L76+L83</f>
        <v>36000000</v>
      </c>
      <c r="M37" s="12">
        <f t="shared" ref="M37:U37" si="15">M76+M83</f>
        <v>32000000</v>
      </c>
      <c r="N37" s="12">
        <f t="shared" si="15"/>
        <v>28000000</v>
      </c>
      <c r="O37" s="12">
        <f t="shared" si="15"/>
        <v>34000000</v>
      </c>
      <c r="P37" s="12">
        <f t="shared" si="15"/>
        <v>28000000</v>
      </c>
      <c r="Q37" s="12">
        <f t="shared" si="15"/>
        <v>22000000</v>
      </c>
      <c r="R37" s="12">
        <f t="shared" si="15"/>
        <v>16000000</v>
      </c>
      <c r="S37" s="12">
        <f t="shared" si="15"/>
        <v>10000000</v>
      </c>
      <c r="T37" s="12">
        <f t="shared" si="15"/>
        <v>4000000</v>
      </c>
      <c r="U37" s="12">
        <f t="shared" si="15"/>
        <v>0</v>
      </c>
    </row>
    <row r="38" spans="1:21" ht="12" customHeight="1" x14ac:dyDescent="0.4">
      <c r="A38" s="7"/>
      <c r="B38" s="7"/>
      <c r="C38" s="10"/>
      <c r="D38" s="18" t="s">
        <v>6</v>
      </c>
      <c r="E38" s="15"/>
      <c r="F38" s="7"/>
      <c r="G38" s="7"/>
      <c r="H38" s="8" t="s">
        <v>17</v>
      </c>
      <c r="I38" s="7"/>
      <c r="J38" s="7"/>
      <c r="K38" s="18">
        <f t="shared" ref="K38:U38" si="16">SUM(K34:K37)</f>
        <v>50000000</v>
      </c>
      <c r="L38" s="18">
        <f t="shared" si="16"/>
        <v>47000000</v>
      </c>
      <c r="M38" s="18">
        <f t="shared" si="16"/>
        <v>43560000</v>
      </c>
      <c r="N38" s="18">
        <f t="shared" si="16"/>
        <v>40164800</v>
      </c>
      <c r="O38" s="18">
        <f t="shared" si="16"/>
        <v>46817984</v>
      </c>
      <c r="P38" s="18">
        <f t="shared" si="16"/>
        <v>41523422.719999999</v>
      </c>
      <c r="Q38" s="18">
        <f t="shared" si="16"/>
        <v>36285296.537600003</v>
      </c>
      <c r="R38" s="18">
        <f t="shared" si="16"/>
        <v>31108120.260608003</v>
      </c>
      <c r="S38" s="18">
        <f t="shared" si="16"/>
        <v>25948120.260608003</v>
      </c>
      <c r="T38" s="18">
        <f t="shared" si="16"/>
        <v>20788120.260608003</v>
      </c>
      <c r="U38" s="18">
        <f t="shared" si="16"/>
        <v>17628120.260608003</v>
      </c>
    </row>
    <row r="39" spans="1:21" ht="12" customHeight="1" x14ac:dyDescent="0.4">
      <c r="A39" s="7"/>
      <c r="B39" s="7"/>
      <c r="C39" s="10"/>
      <c r="D39" s="7"/>
      <c r="E39" s="15"/>
      <c r="F39" s="7"/>
      <c r="G39" s="7"/>
      <c r="H39" s="8"/>
      <c r="I39" s="7"/>
      <c r="J39" s="7"/>
      <c r="K39" s="7"/>
      <c r="L39" s="7"/>
      <c r="M39" s="12"/>
      <c r="N39" s="7"/>
      <c r="O39" s="7"/>
      <c r="P39" s="7"/>
      <c r="Q39" s="7"/>
      <c r="R39" s="7"/>
      <c r="S39" s="7"/>
      <c r="T39" s="7"/>
      <c r="U39" s="7"/>
    </row>
    <row r="40" spans="1:21" ht="12" customHeight="1" x14ac:dyDescent="0.4">
      <c r="A40" s="7"/>
      <c r="B40" s="7"/>
      <c r="C40" s="10" t="s">
        <v>7</v>
      </c>
      <c r="D40" s="7"/>
      <c r="E40" s="15"/>
      <c r="F40" s="7"/>
      <c r="G40" s="7"/>
      <c r="H40" s="8"/>
      <c r="I40" s="7"/>
      <c r="J40" s="7"/>
      <c r="K40" s="7"/>
      <c r="L40" s="7"/>
      <c r="M40" s="12"/>
      <c r="N40" s="7"/>
      <c r="O40" s="7"/>
      <c r="P40" s="7"/>
      <c r="Q40" s="7"/>
      <c r="R40" s="7"/>
      <c r="S40" s="7"/>
      <c r="T40" s="7"/>
      <c r="U40" s="7"/>
    </row>
    <row r="41" spans="1:21" ht="12" customHeight="1" x14ac:dyDescent="0.4">
      <c r="A41" s="7"/>
      <c r="B41" s="7"/>
      <c r="C41" s="10"/>
      <c r="D41" s="7" t="s">
        <v>84</v>
      </c>
      <c r="E41" s="40">
        <f>Assumptions!J39</f>
        <v>0.12</v>
      </c>
      <c r="F41" s="40">
        <f>Assumptions!J40</f>
        <v>0.15</v>
      </c>
      <c r="G41" s="7"/>
      <c r="H41" s="8" t="s">
        <v>17</v>
      </c>
      <c r="I41" s="7"/>
      <c r="J41" s="7"/>
      <c r="K41" s="24">
        <v>0</v>
      </c>
      <c r="L41" s="12">
        <f>-($E41*L16)-($F41*L17)</f>
        <v>2250000</v>
      </c>
      <c r="M41" s="12">
        <f t="shared" ref="M41:U41" si="17">-($E41*M16)-($F41*M17)</f>
        <v>2425500</v>
      </c>
      <c r="N41" s="12">
        <f t="shared" si="17"/>
        <v>2614725</v>
      </c>
      <c r="O41" s="12">
        <f t="shared" si="17"/>
        <v>2818750.9500000007</v>
      </c>
      <c r="P41" s="12">
        <f t="shared" si="17"/>
        <v>3038738.3325</v>
      </c>
      <c r="Q41" s="12">
        <f t="shared" si="17"/>
        <v>3275938.8170550009</v>
      </c>
      <c r="R41" s="12">
        <f t="shared" si="17"/>
        <v>3531702.4396312507</v>
      </c>
      <c r="S41" s="12">
        <f t="shared" si="17"/>
        <v>3794975.4457144942</v>
      </c>
      <c r="T41" s="12">
        <f t="shared" si="17"/>
        <v>4061557.5622235648</v>
      </c>
      <c r="U41" s="12">
        <f t="shared" si="17"/>
        <v>4331680.4268882703</v>
      </c>
    </row>
    <row r="42" spans="1:21" ht="12" customHeight="1" x14ac:dyDescent="0.4">
      <c r="A42" s="7"/>
      <c r="B42" s="7"/>
      <c r="C42" s="10"/>
      <c r="D42" s="7" t="s">
        <v>59</v>
      </c>
      <c r="E42" s="15"/>
      <c r="F42" s="7"/>
      <c r="G42" s="7"/>
      <c r="H42" s="8" t="s">
        <v>17</v>
      </c>
      <c r="I42" s="7"/>
      <c r="J42" s="7"/>
      <c r="K42" s="24">
        <f>Assumptions!J44</f>
        <v>20000000</v>
      </c>
      <c r="L42" s="12">
        <f>L89</f>
        <v>17500000</v>
      </c>
      <c r="M42" s="12">
        <f t="shared" ref="M42:U42" si="18">M89</f>
        <v>15000000</v>
      </c>
      <c r="N42" s="12">
        <f t="shared" si="18"/>
        <v>12500000</v>
      </c>
      <c r="O42" s="12">
        <f t="shared" si="18"/>
        <v>10000000</v>
      </c>
      <c r="P42" s="12">
        <f t="shared" si="18"/>
        <v>7500000</v>
      </c>
      <c r="Q42" s="12">
        <f t="shared" si="18"/>
        <v>5000000</v>
      </c>
      <c r="R42" s="12">
        <f t="shared" si="18"/>
        <v>2500000</v>
      </c>
      <c r="S42" s="12">
        <f t="shared" si="18"/>
        <v>0</v>
      </c>
      <c r="T42" s="12">
        <f t="shared" si="18"/>
        <v>0</v>
      </c>
      <c r="U42" s="12">
        <f t="shared" si="18"/>
        <v>0</v>
      </c>
    </row>
    <row r="43" spans="1:21" ht="12" customHeight="1" x14ac:dyDescent="0.4">
      <c r="A43" s="7"/>
      <c r="B43" s="7"/>
      <c r="C43" s="10"/>
      <c r="D43" s="18" t="s">
        <v>85</v>
      </c>
      <c r="E43" s="15"/>
      <c r="F43" s="7"/>
      <c r="G43" s="7"/>
      <c r="H43" s="8" t="s">
        <v>17</v>
      </c>
      <c r="I43" s="7"/>
      <c r="J43" s="7"/>
      <c r="K43" s="18">
        <f t="shared" ref="K43:U43" si="19">SUM(K41:K42)</f>
        <v>20000000</v>
      </c>
      <c r="L43" s="18">
        <f t="shared" si="19"/>
        <v>19750000</v>
      </c>
      <c r="M43" s="18">
        <f t="shared" si="19"/>
        <v>17425500</v>
      </c>
      <c r="N43" s="18">
        <f t="shared" si="19"/>
        <v>15114725</v>
      </c>
      <c r="O43" s="18">
        <f t="shared" si="19"/>
        <v>12818750.950000001</v>
      </c>
      <c r="P43" s="18">
        <f t="shared" si="19"/>
        <v>10538738.3325</v>
      </c>
      <c r="Q43" s="18">
        <f t="shared" si="19"/>
        <v>8275938.8170550009</v>
      </c>
      <c r="R43" s="18">
        <f t="shared" si="19"/>
        <v>6031702.4396312507</v>
      </c>
      <c r="S43" s="18">
        <f t="shared" si="19"/>
        <v>3794975.4457144942</v>
      </c>
      <c r="T43" s="18">
        <f t="shared" si="19"/>
        <v>4061557.5622235648</v>
      </c>
      <c r="U43" s="18">
        <f t="shared" si="19"/>
        <v>4331680.4268882703</v>
      </c>
    </row>
    <row r="44" spans="1:21" ht="12" customHeight="1" x14ac:dyDescent="0.4">
      <c r="A44" s="7"/>
      <c r="B44" s="7"/>
      <c r="C44" s="10"/>
      <c r="D44" s="7"/>
      <c r="E44" s="15"/>
      <c r="F44" s="7"/>
      <c r="G44" s="7"/>
      <c r="H44" s="8"/>
      <c r="I44" s="7"/>
      <c r="J44" s="7"/>
      <c r="K44" s="7"/>
      <c r="L44" s="7"/>
      <c r="M44" s="12"/>
      <c r="N44" s="7"/>
      <c r="O44" s="7"/>
      <c r="P44" s="7"/>
      <c r="Q44" s="7"/>
      <c r="R44" s="7"/>
      <c r="S44" s="7"/>
      <c r="T44" s="7"/>
      <c r="U44" s="7"/>
    </row>
    <row r="45" spans="1:21" ht="12" customHeight="1" x14ac:dyDescent="0.4">
      <c r="A45" s="7"/>
      <c r="B45" s="7"/>
      <c r="C45" s="10"/>
      <c r="D45" s="10" t="s">
        <v>86</v>
      </c>
      <c r="E45" s="15"/>
      <c r="F45" s="7"/>
      <c r="G45" s="7"/>
      <c r="H45" s="8" t="s">
        <v>17</v>
      </c>
      <c r="I45" s="7"/>
      <c r="J45" s="7"/>
      <c r="K45" s="10">
        <f t="shared" ref="K45:U45" si="20">K38-K43</f>
        <v>30000000</v>
      </c>
      <c r="L45" s="28">
        <f t="shared" si="20"/>
        <v>27250000</v>
      </c>
      <c r="M45" s="10">
        <f t="shared" si="20"/>
        <v>26134500</v>
      </c>
      <c r="N45" s="10">
        <f t="shared" si="20"/>
        <v>25050075</v>
      </c>
      <c r="O45" s="10">
        <f t="shared" si="20"/>
        <v>33999233.049999997</v>
      </c>
      <c r="P45" s="10">
        <f t="shared" si="20"/>
        <v>30984684.387499999</v>
      </c>
      <c r="Q45" s="10">
        <f t="shared" si="20"/>
        <v>28009357.720545001</v>
      </c>
      <c r="R45" s="10">
        <f t="shared" si="20"/>
        <v>25076417.820976753</v>
      </c>
      <c r="S45" s="10">
        <f t="shared" si="20"/>
        <v>22153144.814893506</v>
      </c>
      <c r="T45" s="10">
        <f t="shared" si="20"/>
        <v>16726562.698384438</v>
      </c>
      <c r="U45" s="10">
        <f t="shared" si="20"/>
        <v>13296439.833719732</v>
      </c>
    </row>
    <row r="46" spans="1:21" ht="12" customHeight="1" x14ac:dyDescent="0.4">
      <c r="A46" s="7"/>
      <c r="B46" s="7"/>
      <c r="C46" s="10"/>
      <c r="D46" s="7"/>
      <c r="E46" s="15"/>
      <c r="F46" s="7"/>
      <c r="G46" s="7"/>
      <c r="H46" s="8"/>
      <c r="I46" s="7"/>
      <c r="J46" s="7"/>
      <c r="K46" s="7"/>
      <c r="L46" s="7"/>
      <c r="M46" s="12"/>
      <c r="N46" s="7"/>
      <c r="O46" s="7"/>
      <c r="P46" s="7"/>
      <c r="Q46" s="7"/>
      <c r="R46" s="7"/>
      <c r="S46" s="7"/>
      <c r="T46" s="7"/>
      <c r="U46" s="7"/>
    </row>
    <row r="47" spans="1:21" ht="12" customHeight="1" x14ac:dyDescent="0.4">
      <c r="A47" s="7"/>
      <c r="B47" s="7"/>
      <c r="C47" s="10" t="s">
        <v>14</v>
      </c>
      <c r="D47" s="7"/>
      <c r="E47" s="15"/>
      <c r="F47" s="7"/>
      <c r="G47" s="7"/>
      <c r="H47" s="8"/>
      <c r="I47" s="7"/>
      <c r="J47" s="7"/>
      <c r="K47" s="7"/>
      <c r="L47" s="7"/>
      <c r="M47" s="12"/>
      <c r="N47" s="7"/>
      <c r="O47" s="7"/>
      <c r="P47" s="7"/>
      <c r="Q47" s="7"/>
      <c r="R47" s="7"/>
      <c r="S47" s="7"/>
      <c r="T47" s="7"/>
      <c r="U47" s="7"/>
    </row>
    <row r="48" spans="1:21" ht="12" customHeight="1" x14ac:dyDescent="0.4">
      <c r="A48" s="7"/>
      <c r="B48" s="7"/>
      <c r="C48" s="10"/>
      <c r="D48" s="7" t="s">
        <v>87</v>
      </c>
      <c r="E48" s="39">
        <f>Assumptions!J49</f>
        <v>9000000</v>
      </c>
      <c r="F48" s="39">
        <f>Assumptions!J50</f>
        <v>4</v>
      </c>
      <c r="G48" s="7"/>
      <c r="H48" s="8" t="s">
        <v>17</v>
      </c>
      <c r="I48" s="7"/>
      <c r="J48" s="42"/>
      <c r="K48" s="24">
        <f>Assumptions!J48</f>
        <v>30000000</v>
      </c>
      <c r="L48" s="12">
        <f>K48+$E48*($F48=L$8)</f>
        <v>30000000</v>
      </c>
      <c r="M48" s="12">
        <f t="shared" ref="M48:U48" si="21">L48+$E48*($F48=M$8)</f>
        <v>30000000</v>
      </c>
      <c r="N48" s="12">
        <f t="shared" si="21"/>
        <v>30000000</v>
      </c>
      <c r="O48" s="12">
        <f t="shared" si="21"/>
        <v>39000000</v>
      </c>
      <c r="P48" s="12">
        <f t="shared" si="21"/>
        <v>39000000</v>
      </c>
      <c r="Q48" s="12">
        <f t="shared" si="21"/>
        <v>39000000</v>
      </c>
      <c r="R48" s="12">
        <f t="shared" si="21"/>
        <v>39000000</v>
      </c>
      <c r="S48" s="12">
        <f t="shared" si="21"/>
        <v>39000000</v>
      </c>
      <c r="T48" s="12">
        <f t="shared" si="21"/>
        <v>39000000</v>
      </c>
      <c r="U48" s="12">
        <f t="shared" si="21"/>
        <v>39000000</v>
      </c>
    </row>
    <row r="49" spans="1:21" ht="12" customHeight="1" x14ac:dyDescent="0.4">
      <c r="A49" s="7"/>
      <c r="B49" s="7"/>
      <c r="C49" s="10"/>
      <c r="D49" s="7" t="s">
        <v>8</v>
      </c>
      <c r="E49" s="15"/>
      <c r="F49" s="7"/>
      <c r="G49" s="7"/>
      <c r="H49" s="8" t="s">
        <v>17</v>
      </c>
      <c r="I49" s="7"/>
      <c r="J49" s="7"/>
      <c r="K49" s="24">
        <v>0</v>
      </c>
      <c r="L49" s="12">
        <f>K49+L28</f>
        <v>-2750000</v>
      </c>
      <c r="M49" s="12">
        <f t="shared" ref="M49:U49" si="22">L49+M28</f>
        <v>-3865500</v>
      </c>
      <c r="N49" s="12">
        <f t="shared" si="22"/>
        <v>-4949925</v>
      </c>
      <c r="O49" s="12">
        <f t="shared" si="22"/>
        <v>-5000766.9499999993</v>
      </c>
      <c r="P49" s="12">
        <f t="shared" si="22"/>
        <v>-8015315.6124999989</v>
      </c>
      <c r="Q49" s="12">
        <f t="shared" si="22"/>
        <v>-10990642.279454999</v>
      </c>
      <c r="R49" s="12">
        <f t="shared" si="22"/>
        <v>-13923582.179023249</v>
      </c>
      <c r="S49" s="12">
        <f t="shared" si="22"/>
        <v>-16846855.185106494</v>
      </c>
      <c r="T49" s="12">
        <f t="shared" si="22"/>
        <v>-22273437.301615566</v>
      </c>
      <c r="U49" s="12">
        <f t="shared" si="22"/>
        <v>-25703560.16628027</v>
      </c>
    </row>
    <row r="50" spans="1:21" ht="12" customHeight="1" x14ac:dyDescent="0.4">
      <c r="A50" s="7"/>
      <c r="B50" s="7"/>
      <c r="C50" s="10"/>
      <c r="D50" s="18" t="s">
        <v>9</v>
      </c>
      <c r="E50" s="15"/>
      <c r="F50" s="7"/>
      <c r="G50" s="7"/>
      <c r="H50" s="8" t="s">
        <v>17</v>
      </c>
      <c r="I50" s="7"/>
      <c r="J50" s="7"/>
      <c r="K50" s="18">
        <f t="shared" ref="K50" si="23">SUM(K48:K49)</f>
        <v>30000000</v>
      </c>
      <c r="L50" s="18">
        <f t="shared" ref="L50" si="24">SUM(L48:L49)</f>
        <v>27250000</v>
      </c>
      <c r="M50" s="18">
        <f t="shared" ref="M50" si="25">SUM(M48:M49)</f>
        <v>26134500</v>
      </c>
      <c r="N50" s="18">
        <f t="shared" ref="N50" si="26">SUM(N48:N49)</f>
        <v>25050075</v>
      </c>
      <c r="O50" s="18">
        <f t="shared" ref="O50" si="27">SUM(O48:O49)</f>
        <v>33999233.049999997</v>
      </c>
      <c r="P50" s="18">
        <f t="shared" ref="P50" si="28">SUM(P48:P49)</f>
        <v>30984684.387500003</v>
      </c>
      <c r="Q50" s="18">
        <f t="shared" ref="Q50" si="29">SUM(Q48:Q49)</f>
        <v>28009357.720545001</v>
      </c>
      <c r="R50" s="18">
        <f t="shared" ref="R50" si="30">SUM(R48:R49)</f>
        <v>25076417.820976749</v>
      </c>
      <c r="S50" s="18">
        <f t="shared" ref="S50" si="31">SUM(S48:S49)</f>
        <v>22153144.814893506</v>
      </c>
      <c r="T50" s="18">
        <f t="shared" ref="T50" si="32">SUM(T48:T49)</f>
        <v>16726562.698384434</v>
      </c>
      <c r="U50" s="18">
        <f t="shared" ref="U50" si="33">SUM(U48:U49)</f>
        <v>13296439.83371973</v>
      </c>
    </row>
    <row r="51" spans="1:21" ht="12" customHeight="1" x14ac:dyDescent="0.4">
      <c r="A51" s="7"/>
      <c r="B51" s="7"/>
      <c r="C51" s="10"/>
      <c r="D51" s="7"/>
      <c r="E51" s="15"/>
      <c r="F51" s="7"/>
      <c r="G51" s="7"/>
      <c r="H51" s="8"/>
      <c r="I51" s="7"/>
      <c r="J51" s="7"/>
      <c r="K51" s="7"/>
      <c r="L51" s="7"/>
      <c r="M51" s="12"/>
      <c r="N51" s="7"/>
      <c r="O51" s="7"/>
      <c r="P51" s="7"/>
      <c r="Q51" s="7"/>
      <c r="R51" s="7"/>
      <c r="S51" s="7"/>
      <c r="T51" s="7"/>
      <c r="U51" s="7"/>
    </row>
    <row r="52" spans="1:21" ht="12" customHeight="1" x14ac:dyDescent="0.4">
      <c r="A52" s="7"/>
      <c r="B52" s="7"/>
      <c r="C52" s="10" t="s">
        <v>88</v>
      </c>
      <c r="D52" s="7"/>
      <c r="E52" s="7"/>
      <c r="F52" s="7"/>
      <c r="G52" s="7"/>
      <c r="H52" s="8"/>
      <c r="I52" s="7"/>
      <c r="J52" s="7">
        <f>SUMSQ(K52:U52)</f>
        <v>0</v>
      </c>
      <c r="K52" s="7">
        <f>ROUND(K45-K50,6)</f>
        <v>0</v>
      </c>
      <c r="L52" s="7">
        <f t="shared" ref="L52:U52" si="34">ROUND(L45-L50,6)</f>
        <v>0</v>
      </c>
      <c r="M52" s="7">
        <f t="shared" si="34"/>
        <v>0</v>
      </c>
      <c r="N52" s="7">
        <f t="shared" si="34"/>
        <v>0</v>
      </c>
      <c r="O52" s="7">
        <f t="shared" si="34"/>
        <v>0</v>
      </c>
      <c r="P52" s="7">
        <f t="shared" si="34"/>
        <v>0</v>
      </c>
      <c r="Q52" s="7">
        <f t="shared" si="34"/>
        <v>0</v>
      </c>
      <c r="R52" s="7">
        <f t="shared" si="34"/>
        <v>0</v>
      </c>
      <c r="S52" s="7">
        <f t="shared" si="34"/>
        <v>0</v>
      </c>
      <c r="T52" s="7">
        <f t="shared" si="34"/>
        <v>0</v>
      </c>
      <c r="U52" s="7">
        <f t="shared" si="34"/>
        <v>0</v>
      </c>
    </row>
    <row r="53" spans="1:21" ht="12" customHeight="1" x14ac:dyDescent="0.4">
      <c r="A53" s="7"/>
      <c r="B53" s="7"/>
      <c r="C53" s="10"/>
      <c r="D53" s="7"/>
      <c r="E53" s="7"/>
      <c r="F53" s="7"/>
      <c r="G53" s="7"/>
      <c r="H53" s="8"/>
      <c r="I53" s="7"/>
      <c r="J53" s="7"/>
      <c r="K53" s="7"/>
      <c r="L53" s="7"/>
      <c r="M53" s="29"/>
      <c r="N53" s="7"/>
      <c r="O53" s="7"/>
      <c r="P53" s="7"/>
      <c r="Q53" s="7"/>
      <c r="R53" s="7"/>
      <c r="S53" s="7"/>
      <c r="T53" s="7"/>
      <c r="U53" s="7"/>
    </row>
    <row r="54" spans="1:21" ht="12" customHeight="1" x14ac:dyDescent="0.4">
      <c r="A54" s="14">
        <f>MAX(A$3:A53)+0.01</f>
        <v>2.0299999999999994</v>
      </c>
      <c r="B54" s="14"/>
      <c r="C54" s="14" t="s">
        <v>89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1" ht="12" customHeight="1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x14ac:dyDescent="0.35">
      <c r="A56" s="7"/>
      <c r="B56" s="7"/>
      <c r="C56" s="7" t="s">
        <v>79</v>
      </c>
      <c r="D56" s="7"/>
      <c r="E56" s="7"/>
      <c r="F56" s="7"/>
      <c r="G56" s="7"/>
      <c r="H56" s="7"/>
      <c r="I56" s="7"/>
      <c r="J56" s="7"/>
      <c r="K56" s="7"/>
      <c r="L56" s="7">
        <f>L19</f>
        <v>7000000</v>
      </c>
      <c r="M56" s="7">
        <f t="shared" ref="M56:U56" si="35">M19</f>
        <v>7590000</v>
      </c>
      <c r="N56" s="7">
        <f t="shared" si="35"/>
        <v>8229300.0000000037</v>
      </c>
      <c r="O56" s="7">
        <f t="shared" si="35"/>
        <v>8921991.0000000037</v>
      </c>
      <c r="P56" s="7">
        <f t="shared" si="35"/>
        <v>9672501.570000004</v>
      </c>
      <c r="Q56" s="7">
        <f t="shared" si="35"/>
        <v>10485625.575900003</v>
      </c>
      <c r="R56" s="7">
        <f t="shared" si="35"/>
        <v>11366552.173893003</v>
      </c>
      <c r="S56" s="7">
        <f t="shared" si="35"/>
        <v>12251398.800004713</v>
      </c>
      <c r="T56" s="7">
        <f t="shared" si="35"/>
        <v>13114184.689944241</v>
      </c>
      <c r="U56" s="7">
        <f t="shared" si="35"/>
        <v>13953365.592179537</v>
      </c>
    </row>
    <row r="57" spans="1:21" x14ac:dyDescent="0.3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x14ac:dyDescent="0.35">
      <c r="A58" s="7"/>
      <c r="B58" s="7"/>
      <c r="C58" s="7" t="s">
        <v>103</v>
      </c>
      <c r="D58" s="7"/>
      <c r="E58" s="7"/>
      <c r="F58" s="7"/>
      <c r="G58" s="7"/>
      <c r="H58" s="7"/>
      <c r="I58" s="7"/>
      <c r="J58" s="7"/>
      <c r="K58" s="7"/>
      <c r="L58" s="7">
        <f>-L82*(1-Assumptions!$J$34)</f>
        <v>0</v>
      </c>
      <c r="M58" s="7">
        <f>-M82*(1-Assumptions!$J$34)</f>
        <v>0</v>
      </c>
      <c r="N58" s="7">
        <f>-N82*(1-Assumptions!$J$34)</f>
        <v>0</v>
      </c>
      <c r="O58" s="7">
        <f>-O82*(1-Assumptions!$J$34)</f>
        <v>-999999.99999999977</v>
      </c>
      <c r="P58" s="7">
        <f>-P82*(1-Assumptions!$J$34)</f>
        <v>0</v>
      </c>
      <c r="Q58" s="7">
        <f>-Q82*(1-Assumptions!$J$34)</f>
        <v>0</v>
      </c>
      <c r="R58" s="7">
        <f>-R82*(1-Assumptions!$J$34)</f>
        <v>0</v>
      </c>
      <c r="S58" s="7">
        <f>-S82*(1-Assumptions!$J$34)</f>
        <v>0</v>
      </c>
      <c r="T58" s="7">
        <f>-T82*(1-Assumptions!$J$34)</f>
        <v>0</v>
      </c>
      <c r="U58" s="7">
        <f>-U82*(1-Assumptions!$J$34)</f>
        <v>0</v>
      </c>
    </row>
    <row r="59" spans="1:21" x14ac:dyDescent="0.35">
      <c r="A59" s="7"/>
      <c r="B59" s="7"/>
      <c r="C59" s="7" t="s">
        <v>91</v>
      </c>
      <c r="D59" s="7"/>
      <c r="E59" s="7"/>
      <c r="F59" s="7"/>
      <c r="G59" s="7"/>
      <c r="H59" s="7"/>
      <c r="I59" s="7"/>
      <c r="J59" s="7"/>
      <c r="K59" s="7"/>
      <c r="L59" s="7">
        <f>-L91</f>
        <v>-1300000</v>
      </c>
      <c r="M59" s="7">
        <f t="shared" ref="M59:U59" si="36">-M91</f>
        <v>-1137500</v>
      </c>
      <c r="N59" s="7">
        <f t="shared" si="36"/>
        <v>-975000</v>
      </c>
      <c r="O59" s="7">
        <f t="shared" si="36"/>
        <v>-812500</v>
      </c>
      <c r="P59" s="7">
        <f t="shared" si="36"/>
        <v>-650000</v>
      </c>
      <c r="Q59" s="7">
        <f t="shared" si="36"/>
        <v>-487500</v>
      </c>
      <c r="R59" s="7">
        <f t="shared" si="36"/>
        <v>-325000</v>
      </c>
      <c r="S59" s="7">
        <f t="shared" si="36"/>
        <v>-162500</v>
      </c>
      <c r="T59" s="7">
        <f t="shared" si="36"/>
        <v>0</v>
      </c>
      <c r="U59" s="7">
        <f t="shared" si="36"/>
        <v>0</v>
      </c>
    </row>
    <row r="60" spans="1:21" x14ac:dyDescent="0.35">
      <c r="A60" s="7"/>
      <c r="B60" s="7"/>
      <c r="C60" s="7" t="s">
        <v>92</v>
      </c>
      <c r="D60" s="7"/>
      <c r="E60" s="7"/>
      <c r="F60" s="7"/>
      <c r="G60" s="7"/>
      <c r="H60" s="7"/>
      <c r="I60" s="7"/>
      <c r="J60" s="7"/>
      <c r="K60" s="7"/>
      <c r="L60" s="7">
        <f>L88</f>
        <v>-2500000</v>
      </c>
      <c r="M60" s="7">
        <f t="shared" ref="M60:U60" si="37">M88</f>
        <v>-2500000</v>
      </c>
      <c r="N60" s="7">
        <f t="shared" si="37"/>
        <v>-2500000</v>
      </c>
      <c r="O60" s="7">
        <f t="shared" si="37"/>
        <v>-2500000</v>
      </c>
      <c r="P60" s="7">
        <f t="shared" si="37"/>
        <v>-2500000</v>
      </c>
      <c r="Q60" s="7">
        <f t="shared" si="37"/>
        <v>-2500000</v>
      </c>
      <c r="R60" s="7">
        <f t="shared" si="37"/>
        <v>-2500000</v>
      </c>
      <c r="S60" s="7">
        <f t="shared" si="37"/>
        <v>-2500000</v>
      </c>
      <c r="T60" s="7">
        <f t="shared" si="37"/>
        <v>0</v>
      </c>
      <c r="U60" s="7">
        <f t="shared" si="37"/>
        <v>0</v>
      </c>
    </row>
    <row r="61" spans="1:21" x14ac:dyDescent="0.35">
      <c r="A61" s="7"/>
      <c r="B61" s="7"/>
      <c r="C61" s="7" t="s">
        <v>93</v>
      </c>
      <c r="D61" s="7"/>
      <c r="E61" s="7"/>
      <c r="F61" s="7"/>
      <c r="G61" s="7"/>
      <c r="H61" s="7"/>
      <c r="I61" s="7"/>
      <c r="J61" s="7"/>
      <c r="K61" s="7"/>
      <c r="L61" s="7">
        <f>(K35-L35)+(K36-L36)+(L41-K41)</f>
        <v>2250000</v>
      </c>
      <c r="M61" s="7">
        <f t="shared" ref="M61:U61" si="38">(L35-M35)+(L36-M36)+(M41-L41)</f>
        <v>-384500</v>
      </c>
      <c r="N61" s="7">
        <f t="shared" si="38"/>
        <v>-415575.00000000047</v>
      </c>
      <c r="O61" s="7">
        <f t="shared" si="38"/>
        <v>-449158.05000000075</v>
      </c>
      <c r="P61" s="7">
        <f t="shared" si="38"/>
        <v>-485451.33749999991</v>
      </c>
      <c r="Q61" s="7">
        <f t="shared" si="38"/>
        <v>-524673.33304500068</v>
      </c>
      <c r="R61" s="7">
        <f t="shared" si="38"/>
        <v>-567060.10043175006</v>
      </c>
      <c r="S61" s="7">
        <f t="shared" si="38"/>
        <v>-576726.99391675647</v>
      </c>
      <c r="T61" s="7">
        <f t="shared" si="38"/>
        <v>-573417.88349092938</v>
      </c>
      <c r="U61" s="7">
        <f t="shared" si="38"/>
        <v>-569877.13533529453</v>
      </c>
    </row>
    <row r="62" spans="1:21" x14ac:dyDescent="0.3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x14ac:dyDescent="0.35">
      <c r="A63" s="7"/>
      <c r="B63" s="7"/>
      <c r="C63" s="7" t="s">
        <v>104</v>
      </c>
      <c r="D63" s="7"/>
      <c r="E63" s="7"/>
      <c r="F63" s="7"/>
      <c r="G63" s="7"/>
      <c r="H63" s="7"/>
      <c r="I63" s="7"/>
      <c r="J63" s="7"/>
      <c r="K63" s="7"/>
      <c r="L63" s="7">
        <f t="shared" ref="L63:U63" si="39">SUM(L56:L62)</f>
        <v>5450000</v>
      </c>
      <c r="M63" s="7">
        <f t="shared" si="39"/>
        <v>3568000</v>
      </c>
      <c r="N63" s="7">
        <f t="shared" si="39"/>
        <v>4338725.0000000037</v>
      </c>
      <c r="O63" s="7">
        <f t="shared" si="39"/>
        <v>4160332.950000003</v>
      </c>
      <c r="P63" s="7">
        <f t="shared" si="39"/>
        <v>6037050.2325000037</v>
      </c>
      <c r="Q63" s="7">
        <f t="shared" si="39"/>
        <v>6973452.2428550031</v>
      </c>
      <c r="R63" s="7">
        <f t="shared" si="39"/>
        <v>7974492.0734612532</v>
      </c>
      <c r="S63" s="7">
        <f t="shared" si="39"/>
        <v>9012171.8060879558</v>
      </c>
      <c r="T63" s="7">
        <f t="shared" si="39"/>
        <v>12540766.806453312</v>
      </c>
      <c r="U63" s="7">
        <f t="shared" si="39"/>
        <v>13383488.456844242</v>
      </c>
    </row>
    <row r="64" spans="1:21" x14ac:dyDescent="0.3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x14ac:dyDescent="0.35">
      <c r="A65" s="7"/>
      <c r="B65" s="7"/>
      <c r="C65" s="7" t="s">
        <v>105</v>
      </c>
      <c r="D65" s="7"/>
      <c r="E65" s="7"/>
      <c r="F65" s="7"/>
      <c r="G65" s="7"/>
      <c r="H65" s="7"/>
      <c r="I65" s="7"/>
      <c r="J65" s="7"/>
      <c r="K65" s="7"/>
      <c r="L65" s="7">
        <f>K34+L63</f>
        <v>8450000</v>
      </c>
      <c r="M65" s="7">
        <f t="shared" ref="M65:U65" si="40">L34+M63</f>
        <v>7568000</v>
      </c>
      <c r="N65" s="7">
        <f t="shared" si="40"/>
        <v>8338725.0000000037</v>
      </c>
      <c r="O65" s="7">
        <f t="shared" si="40"/>
        <v>8160332.950000003</v>
      </c>
      <c r="P65" s="7">
        <f t="shared" si="40"/>
        <v>10037050.232500004</v>
      </c>
      <c r="Q65" s="7">
        <f t="shared" si="40"/>
        <v>10973452.242855003</v>
      </c>
      <c r="R65" s="7">
        <f t="shared" si="40"/>
        <v>11974492.073461253</v>
      </c>
      <c r="S65" s="7">
        <f t="shared" si="40"/>
        <v>13012171.806087956</v>
      </c>
      <c r="T65" s="7">
        <f t="shared" si="40"/>
        <v>16540766.806453312</v>
      </c>
      <c r="U65" s="7">
        <f t="shared" si="40"/>
        <v>17383488.45684424</v>
      </c>
    </row>
    <row r="66" spans="1:21" x14ac:dyDescent="0.3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x14ac:dyDescent="0.35">
      <c r="A67" s="7"/>
      <c r="B67" s="7"/>
      <c r="C67" s="7" t="s">
        <v>106</v>
      </c>
      <c r="D67" s="7"/>
      <c r="E67" s="7"/>
      <c r="F67" s="7"/>
      <c r="G67" s="7"/>
      <c r="H67" s="7"/>
      <c r="I67" s="7"/>
      <c r="J67" s="7"/>
      <c r="K67" s="7"/>
      <c r="L67" s="7">
        <f>-MAX(L65-Assumptions!$J$53,0)</f>
        <v>-4450000</v>
      </c>
      <c r="M67" s="7">
        <f>-MAX(M65-Assumptions!$J$53,0)</f>
        <v>-3568000</v>
      </c>
      <c r="N67" s="7">
        <f>-MAX(N65-Assumptions!$J$53,0)</f>
        <v>-4338725.0000000037</v>
      </c>
      <c r="O67" s="7">
        <f>-MAX(O65-Assumptions!$J$53,0)</f>
        <v>-4160332.950000003</v>
      </c>
      <c r="P67" s="7">
        <f>-MAX(P65-Assumptions!$J$53,0)</f>
        <v>-6037050.2325000037</v>
      </c>
      <c r="Q67" s="7">
        <f>-MAX(Q65-Assumptions!$J$53,0)</f>
        <v>-6973452.2428550031</v>
      </c>
      <c r="R67" s="7">
        <f>-MAX(R65-Assumptions!$J$53,0)</f>
        <v>-7974492.0734612532</v>
      </c>
      <c r="S67" s="7">
        <f>-MAX(S65-Assumptions!$J$53,0)</f>
        <v>-9012171.8060879558</v>
      </c>
      <c r="T67" s="7">
        <f>-MAX(T65-Assumptions!$J$53,0)</f>
        <v>-12540766.806453312</v>
      </c>
      <c r="U67" s="7">
        <f>-MAX(U65-Assumptions!$J$53,0)</f>
        <v>-13383488.45684424</v>
      </c>
    </row>
    <row r="68" spans="1:21" x14ac:dyDescent="0.3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x14ac:dyDescent="0.35">
      <c r="A69" s="7"/>
      <c r="B69" s="7"/>
      <c r="C69" s="7" t="s">
        <v>94</v>
      </c>
      <c r="D69" s="7"/>
      <c r="E69" s="7"/>
      <c r="F69" s="7"/>
      <c r="G69" s="7"/>
      <c r="H69" s="7"/>
      <c r="I69" s="7"/>
      <c r="J69" s="7"/>
      <c r="K69" s="7"/>
      <c r="L69" s="7">
        <f t="shared" ref="L69:U69" si="41">L65+L67</f>
        <v>4000000</v>
      </c>
      <c r="M69" s="7">
        <f t="shared" si="41"/>
        <v>4000000</v>
      </c>
      <c r="N69" s="7">
        <f t="shared" si="41"/>
        <v>4000000</v>
      </c>
      <c r="O69" s="7">
        <f t="shared" si="41"/>
        <v>4000000</v>
      </c>
      <c r="P69" s="7">
        <f t="shared" si="41"/>
        <v>4000000</v>
      </c>
      <c r="Q69" s="7">
        <f t="shared" si="41"/>
        <v>4000000</v>
      </c>
      <c r="R69" s="7">
        <f t="shared" si="41"/>
        <v>4000000</v>
      </c>
      <c r="S69" s="7">
        <f t="shared" si="41"/>
        <v>4000000</v>
      </c>
      <c r="T69" s="7">
        <f t="shared" si="41"/>
        <v>4000000</v>
      </c>
      <c r="U69" s="7">
        <f t="shared" si="41"/>
        <v>4000000</v>
      </c>
    </row>
    <row r="70" spans="1:21" x14ac:dyDescent="0.3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ht="12" customHeight="1" x14ac:dyDescent="0.4">
      <c r="A71" s="14">
        <f>MAX(A$3:A70)+0.01</f>
        <v>2.0399999999999991</v>
      </c>
      <c r="B71" s="14"/>
      <c r="C71" s="14" t="s">
        <v>95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x14ac:dyDescent="0.3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x14ac:dyDescent="0.35">
      <c r="A73" s="7"/>
      <c r="B73" s="7"/>
      <c r="C73" s="7" t="s">
        <v>96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 x14ac:dyDescent="0.35">
      <c r="A74" s="7"/>
      <c r="B74" s="7"/>
      <c r="C74" s="7"/>
      <c r="D74" s="7" t="s">
        <v>98</v>
      </c>
      <c r="E74" s="7"/>
      <c r="F74" s="7"/>
      <c r="G74" s="7"/>
      <c r="H74" s="7"/>
      <c r="I74" s="7"/>
      <c r="J74" s="7"/>
      <c r="K74" s="7"/>
      <c r="L74" s="7">
        <f>K76</f>
        <v>40000000</v>
      </c>
      <c r="M74" s="7">
        <f t="shared" ref="M74:U74" si="42">L76</f>
        <v>36000000</v>
      </c>
      <c r="N74" s="7">
        <f t="shared" si="42"/>
        <v>32000000</v>
      </c>
      <c r="O74" s="7">
        <f t="shared" si="42"/>
        <v>28000000</v>
      </c>
      <c r="P74" s="7">
        <f t="shared" si="42"/>
        <v>24000000</v>
      </c>
      <c r="Q74" s="7">
        <f t="shared" si="42"/>
        <v>20000000</v>
      </c>
      <c r="R74" s="7">
        <f t="shared" si="42"/>
        <v>16000000</v>
      </c>
      <c r="S74" s="7">
        <f t="shared" si="42"/>
        <v>12000000</v>
      </c>
      <c r="T74" s="7">
        <f t="shared" si="42"/>
        <v>8000000</v>
      </c>
      <c r="U74" s="7">
        <f t="shared" si="42"/>
        <v>4000000</v>
      </c>
    </row>
    <row r="75" spans="1:21" x14ac:dyDescent="0.35">
      <c r="A75" s="7"/>
      <c r="B75" s="7"/>
      <c r="C75" s="7"/>
      <c r="D75" s="7" t="s">
        <v>80</v>
      </c>
      <c r="E75" s="39">
        <f>Assumptions!J28</f>
        <v>10</v>
      </c>
      <c r="F75" s="7"/>
      <c r="G75" s="7"/>
      <c r="H75" s="7"/>
      <c r="I75" s="7"/>
      <c r="J75" s="7"/>
      <c r="K75" s="7"/>
      <c r="L75" s="7">
        <f>-MIN($K76/$E75,L74)</f>
        <v>-4000000</v>
      </c>
      <c r="M75" s="7">
        <f t="shared" ref="M75:U75" si="43">-MIN($K76/$E75,M74)</f>
        <v>-4000000</v>
      </c>
      <c r="N75" s="7">
        <f t="shared" si="43"/>
        <v>-4000000</v>
      </c>
      <c r="O75" s="7">
        <f t="shared" si="43"/>
        <v>-4000000</v>
      </c>
      <c r="P75" s="7">
        <f t="shared" si="43"/>
        <v>-4000000</v>
      </c>
      <c r="Q75" s="7">
        <f t="shared" si="43"/>
        <v>-4000000</v>
      </c>
      <c r="R75" s="7">
        <f t="shared" si="43"/>
        <v>-4000000</v>
      </c>
      <c r="S75" s="7">
        <f t="shared" si="43"/>
        <v>-4000000</v>
      </c>
      <c r="T75" s="7">
        <f t="shared" si="43"/>
        <v>-4000000</v>
      </c>
      <c r="U75" s="7">
        <f t="shared" si="43"/>
        <v>-4000000</v>
      </c>
    </row>
    <row r="76" spans="1:21" x14ac:dyDescent="0.35">
      <c r="A76" s="7"/>
      <c r="B76" s="7"/>
      <c r="C76" s="7"/>
      <c r="D76" s="7" t="s">
        <v>99</v>
      </c>
      <c r="E76" s="7"/>
      <c r="F76" s="7"/>
      <c r="G76" s="7"/>
      <c r="H76" s="7"/>
      <c r="I76" s="7"/>
      <c r="J76" s="7"/>
      <c r="K76" s="24">
        <f>K37</f>
        <v>40000000</v>
      </c>
      <c r="L76" s="7">
        <f>SUM(L74:L75)</f>
        <v>36000000</v>
      </c>
      <c r="M76" s="7">
        <f t="shared" ref="M76:U76" si="44">SUM(M74:M75)</f>
        <v>32000000</v>
      </c>
      <c r="N76" s="7">
        <f t="shared" si="44"/>
        <v>28000000</v>
      </c>
      <c r="O76" s="7">
        <f t="shared" si="44"/>
        <v>24000000</v>
      </c>
      <c r="P76" s="7">
        <f t="shared" si="44"/>
        <v>20000000</v>
      </c>
      <c r="Q76" s="7">
        <f t="shared" si="44"/>
        <v>16000000</v>
      </c>
      <c r="R76" s="7">
        <f t="shared" si="44"/>
        <v>12000000</v>
      </c>
      <c r="S76" s="7">
        <f t="shared" si="44"/>
        <v>8000000</v>
      </c>
      <c r="T76" s="7">
        <f t="shared" si="44"/>
        <v>4000000</v>
      </c>
      <c r="U76" s="7">
        <f t="shared" si="44"/>
        <v>0</v>
      </c>
    </row>
    <row r="77" spans="1:21" x14ac:dyDescent="0.3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 x14ac:dyDescent="0.3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x14ac:dyDescent="0.35">
      <c r="A79" s="7"/>
      <c r="B79" s="7"/>
      <c r="C79" s="7" t="s">
        <v>97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x14ac:dyDescent="0.35">
      <c r="A80" s="7"/>
      <c r="B80" s="7"/>
      <c r="C80" s="7"/>
      <c r="D80" s="7" t="s">
        <v>98</v>
      </c>
      <c r="E80" s="7"/>
      <c r="F80" s="7"/>
      <c r="G80" s="7"/>
      <c r="H80" s="7"/>
      <c r="I80" s="7"/>
      <c r="J80" s="7"/>
      <c r="K80" s="7"/>
      <c r="L80" s="7">
        <f t="shared" ref="L80:U80" si="45">K83</f>
        <v>0</v>
      </c>
      <c r="M80" s="7">
        <f t="shared" si="45"/>
        <v>0</v>
      </c>
      <c r="N80" s="7">
        <f t="shared" si="45"/>
        <v>0</v>
      </c>
      <c r="O80" s="7">
        <f t="shared" si="45"/>
        <v>0</v>
      </c>
      <c r="P80" s="7">
        <f t="shared" si="45"/>
        <v>10000000</v>
      </c>
      <c r="Q80" s="7">
        <f t="shared" si="45"/>
        <v>8000000</v>
      </c>
      <c r="R80" s="7">
        <f t="shared" si="45"/>
        <v>6000000</v>
      </c>
      <c r="S80" s="7">
        <f t="shared" si="45"/>
        <v>4000000</v>
      </c>
      <c r="T80" s="7">
        <f t="shared" si="45"/>
        <v>2000000</v>
      </c>
      <c r="U80" s="7">
        <f t="shared" si="45"/>
        <v>0</v>
      </c>
    </row>
    <row r="81" spans="1:21" x14ac:dyDescent="0.35">
      <c r="A81" s="7"/>
      <c r="B81" s="7"/>
      <c r="C81" s="7"/>
      <c r="D81" s="7" t="s">
        <v>80</v>
      </c>
      <c r="E81" s="39">
        <f>Assumptions!J32</f>
        <v>5</v>
      </c>
      <c r="G81" s="7"/>
      <c r="H81" s="7"/>
      <c r="I81" s="7"/>
      <c r="J81" s="7"/>
      <c r="K81" s="7"/>
      <c r="L81" s="7">
        <f>-MIN($E82/$E81,L80)</f>
        <v>0</v>
      </c>
      <c r="M81" s="7">
        <f t="shared" ref="M81:U81" si="46">-MIN($E82/$E81,M80)</f>
        <v>0</v>
      </c>
      <c r="N81" s="7">
        <f t="shared" si="46"/>
        <v>0</v>
      </c>
      <c r="O81" s="7">
        <f t="shared" si="46"/>
        <v>0</v>
      </c>
      <c r="P81" s="7">
        <f t="shared" si="46"/>
        <v>-2000000</v>
      </c>
      <c r="Q81" s="7">
        <f t="shared" si="46"/>
        <v>-2000000</v>
      </c>
      <c r="R81" s="7">
        <f t="shared" si="46"/>
        <v>-2000000</v>
      </c>
      <c r="S81" s="7">
        <f t="shared" si="46"/>
        <v>-2000000</v>
      </c>
      <c r="T81" s="7">
        <f t="shared" si="46"/>
        <v>-2000000</v>
      </c>
      <c r="U81" s="7">
        <f t="shared" si="46"/>
        <v>0</v>
      </c>
    </row>
    <row r="82" spans="1:21" x14ac:dyDescent="0.35">
      <c r="A82" s="7"/>
      <c r="B82" s="7"/>
      <c r="C82" s="7"/>
      <c r="D82" s="7" t="s">
        <v>90</v>
      </c>
      <c r="E82" s="39">
        <f>Assumptions!J31</f>
        <v>10000000</v>
      </c>
      <c r="F82" s="39">
        <f>Assumptions!J33</f>
        <v>4</v>
      </c>
      <c r="L82" s="7">
        <f>$E82*(L$8=$F82)</f>
        <v>0</v>
      </c>
      <c r="M82" s="7">
        <f t="shared" ref="M82:U82" si="47">$E82*(M$8=$F82)</f>
        <v>0</v>
      </c>
      <c r="N82" s="7">
        <f t="shared" si="47"/>
        <v>0</v>
      </c>
      <c r="O82" s="7">
        <f t="shared" si="47"/>
        <v>10000000</v>
      </c>
      <c r="P82" s="7">
        <f t="shared" si="47"/>
        <v>0</v>
      </c>
      <c r="Q82" s="7">
        <f t="shared" si="47"/>
        <v>0</v>
      </c>
      <c r="R82" s="7">
        <f t="shared" si="47"/>
        <v>0</v>
      </c>
      <c r="S82" s="7">
        <f t="shared" si="47"/>
        <v>0</v>
      </c>
      <c r="T82" s="7">
        <f t="shared" si="47"/>
        <v>0</v>
      </c>
      <c r="U82" s="7">
        <f t="shared" si="47"/>
        <v>0</v>
      </c>
    </row>
    <row r="83" spans="1:21" x14ac:dyDescent="0.35">
      <c r="A83" s="7"/>
      <c r="B83" s="7"/>
      <c r="C83" s="7"/>
      <c r="D83" s="7" t="s">
        <v>99</v>
      </c>
      <c r="E83" s="7"/>
      <c r="F83" s="7"/>
      <c r="G83" s="7"/>
      <c r="H83" s="7"/>
      <c r="I83" s="7"/>
      <c r="J83" s="7"/>
      <c r="K83" s="24">
        <v>0</v>
      </c>
      <c r="L83" s="7">
        <f>SUM(L80:L82)</f>
        <v>0</v>
      </c>
      <c r="M83" s="7">
        <f t="shared" ref="M83:U83" si="48">SUM(M80:M82)</f>
        <v>0</v>
      </c>
      <c r="N83" s="7">
        <f t="shared" si="48"/>
        <v>0</v>
      </c>
      <c r="O83" s="7">
        <f t="shared" si="48"/>
        <v>10000000</v>
      </c>
      <c r="P83" s="7">
        <f t="shared" si="48"/>
        <v>8000000</v>
      </c>
      <c r="Q83" s="7">
        <f t="shared" si="48"/>
        <v>6000000</v>
      </c>
      <c r="R83" s="7">
        <f t="shared" si="48"/>
        <v>4000000</v>
      </c>
      <c r="S83" s="7">
        <f t="shared" si="48"/>
        <v>2000000</v>
      </c>
      <c r="T83" s="7">
        <f t="shared" si="48"/>
        <v>0</v>
      </c>
      <c r="U83" s="7">
        <f t="shared" si="48"/>
        <v>0</v>
      </c>
    </row>
    <row r="84" spans="1:21" x14ac:dyDescent="0.3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ht="12" customHeight="1" x14ac:dyDescent="0.4">
      <c r="A85" s="14">
        <f>MAX(A$3:A84)+0.01</f>
        <v>2.0499999999999989</v>
      </c>
      <c r="B85" s="14"/>
      <c r="C85" s="14" t="s">
        <v>100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x14ac:dyDescent="0.3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x14ac:dyDescent="0.35">
      <c r="A87" s="7"/>
      <c r="B87" s="7"/>
      <c r="C87" s="7" t="s">
        <v>98</v>
      </c>
      <c r="D87" s="7"/>
      <c r="E87" s="7"/>
      <c r="F87" s="7"/>
      <c r="G87" s="7"/>
      <c r="H87" s="7"/>
      <c r="I87" s="7"/>
      <c r="J87" s="7"/>
      <c r="K87" s="7"/>
      <c r="L87" s="7">
        <f>K89</f>
        <v>20000000</v>
      </c>
      <c r="M87" s="7">
        <f t="shared" ref="M87:U87" si="49">L89</f>
        <v>17500000</v>
      </c>
      <c r="N87" s="7">
        <f t="shared" si="49"/>
        <v>15000000</v>
      </c>
      <c r="O87" s="7">
        <f t="shared" si="49"/>
        <v>12500000</v>
      </c>
      <c r="P87" s="7">
        <f t="shared" si="49"/>
        <v>10000000</v>
      </c>
      <c r="Q87" s="7">
        <f t="shared" si="49"/>
        <v>7500000</v>
      </c>
      <c r="R87" s="7">
        <f t="shared" si="49"/>
        <v>5000000</v>
      </c>
      <c r="S87" s="7">
        <f t="shared" si="49"/>
        <v>2500000</v>
      </c>
      <c r="T87" s="7">
        <f t="shared" si="49"/>
        <v>0</v>
      </c>
      <c r="U87" s="7">
        <f t="shared" si="49"/>
        <v>0</v>
      </c>
    </row>
    <row r="88" spans="1:21" x14ac:dyDescent="0.35">
      <c r="A88" s="7"/>
      <c r="B88" s="7"/>
      <c r="C88" s="7" t="s">
        <v>101</v>
      </c>
      <c r="D88" s="7"/>
      <c r="E88" s="39">
        <f>Assumptions!J45</f>
        <v>2500000</v>
      </c>
      <c r="F88" s="7"/>
      <c r="G88" s="7"/>
      <c r="H88" s="7"/>
      <c r="I88" s="7"/>
      <c r="J88" s="7"/>
      <c r="K88" s="7"/>
      <c r="L88" s="7">
        <f>-MIN($E88,L87)</f>
        <v>-2500000</v>
      </c>
      <c r="M88" s="7">
        <f t="shared" ref="M88:U88" si="50">-MIN($E88,M87)</f>
        <v>-2500000</v>
      </c>
      <c r="N88" s="7">
        <f t="shared" si="50"/>
        <v>-2500000</v>
      </c>
      <c r="O88" s="7">
        <f t="shared" si="50"/>
        <v>-2500000</v>
      </c>
      <c r="P88" s="7">
        <f t="shared" si="50"/>
        <v>-2500000</v>
      </c>
      <c r="Q88" s="7">
        <f t="shared" si="50"/>
        <v>-2500000</v>
      </c>
      <c r="R88" s="7">
        <f t="shared" si="50"/>
        <v>-2500000</v>
      </c>
      <c r="S88" s="7">
        <f t="shared" si="50"/>
        <v>-2500000</v>
      </c>
      <c r="T88" s="7">
        <f t="shared" si="50"/>
        <v>0</v>
      </c>
      <c r="U88" s="7">
        <f t="shared" si="50"/>
        <v>0</v>
      </c>
    </row>
    <row r="89" spans="1:21" x14ac:dyDescent="0.35">
      <c r="A89" s="7"/>
      <c r="B89" s="7"/>
      <c r="C89" s="7" t="s">
        <v>99</v>
      </c>
      <c r="D89" s="7"/>
      <c r="E89" s="7"/>
      <c r="F89" s="7"/>
      <c r="G89" s="7"/>
      <c r="H89" s="7"/>
      <c r="I89" s="7"/>
      <c r="J89" s="7"/>
      <c r="K89" s="24">
        <f>K42</f>
        <v>20000000</v>
      </c>
      <c r="L89" s="7">
        <f>SUM(L87:L88)</f>
        <v>17500000</v>
      </c>
      <c r="M89" s="7">
        <f t="shared" ref="M89:U89" si="51">SUM(M87:M88)</f>
        <v>15000000</v>
      </c>
      <c r="N89" s="7">
        <f t="shared" si="51"/>
        <v>12500000</v>
      </c>
      <c r="O89" s="7">
        <f t="shared" si="51"/>
        <v>10000000</v>
      </c>
      <c r="P89" s="7">
        <f t="shared" si="51"/>
        <v>7500000</v>
      </c>
      <c r="Q89" s="7">
        <f t="shared" si="51"/>
        <v>5000000</v>
      </c>
      <c r="R89" s="7">
        <f t="shared" si="51"/>
        <v>2500000</v>
      </c>
      <c r="S89" s="7">
        <f t="shared" si="51"/>
        <v>0</v>
      </c>
      <c r="T89" s="7">
        <f t="shared" si="51"/>
        <v>0</v>
      </c>
      <c r="U89" s="7">
        <f t="shared" si="51"/>
        <v>0</v>
      </c>
    </row>
    <row r="90" spans="1:21" x14ac:dyDescent="0.3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x14ac:dyDescent="0.35">
      <c r="A91" s="7"/>
      <c r="B91" s="7"/>
      <c r="C91" s="7" t="s">
        <v>102</v>
      </c>
      <c r="D91" s="7"/>
      <c r="E91" s="41">
        <f>Assumptions!$J$43</f>
        <v>6.5000000000000002E-2</v>
      </c>
      <c r="F91" s="7"/>
      <c r="G91" s="7"/>
      <c r="H91" s="7"/>
      <c r="I91" s="7"/>
      <c r="J91" s="7"/>
      <c r="K91" s="7"/>
      <c r="L91" s="7">
        <f>L87*$E91</f>
        <v>1300000</v>
      </c>
      <c r="M91" s="7">
        <f t="shared" ref="M91:U91" si="52">M87*$E91</f>
        <v>1137500</v>
      </c>
      <c r="N91" s="7">
        <f t="shared" si="52"/>
        <v>975000</v>
      </c>
      <c r="O91" s="7">
        <f t="shared" si="52"/>
        <v>812500</v>
      </c>
      <c r="P91" s="7">
        <f t="shared" si="52"/>
        <v>650000</v>
      </c>
      <c r="Q91" s="7">
        <f t="shared" si="52"/>
        <v>487500</v>
      </c>
      <c r="R91" s="7">
        <f t="shared" si="52"/>
        <v>325000</v>
      </c>
      <c r="S91" s="7">
        <f t="shared" si="52"/>
        <v>162500</v>
      </c>
      <c r="T91" s="7">
        <f t="shared" si="52"/>
        <v>0</v>
      </c>
      <c r="U91" s="7">
        <f t="shared" si="52"/>
        <v>0</v>
      </c>
    </row>
    <row r="92" spans="1:21" x14ac:dyDescent="0.3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 ht="12" customHeight="1" x14ac:dyDescent="0.4">
      <c r="A93" s="14">
        <f>MAX(A$3:A92)+0.01</f>
        <v>2.0599999999999987</v>
      </c>
      <c r="B93" s="14"/>
      <c r="C93" s="14" t="s">
        <v>107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x14ac:dyDescent="0.3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x14ac:dyDescent="0.35">
      <c r="A95" s="7"/>
      <c r="B95" s="7"/>
      <c r="C95" s="7" t="s">
        <v>108</v>
      </c>
      <c r="D95" s="7"/>
      <c r="E95" s="7"/>
      <c r="F95" s="7"/>
      <c r="G95" s="7"/>
      <c r="H95" s="7"/>
      <c r="I95" s="7"/>
      <c r="J95" s="7"/>
      <c r="K95" s="7">
        <f>J48-K48</f>
        <v>-30000000</v>
      </c>
      <c r="L95" s="7">
        <f t="shared" ref="L95:U95" si="53">K48-L48</f>
        <v>0</v>
      </c>
      <c r="M95" s="7">
        <f t="shared" si="53"/>
        <v>0</v>
      </c>
      <c r="N95" s="7">
        <f t="shared" si="53"/>
        <v>0</v>
      </c>
      <c r="O95" s="7">
        <f t="shared" si="53"/>
        <v>-9000000</v>
      </c>
      <c r="P95" s="7">
        <f t="shared" si="53"/>
        <v>0</v>
      </c>
      <c r="Q95" s="7">
        <f t="shared" si="53"/>
        <v>0</v>
      </c>
      <c r="R95" s="7">
        <f t="shared" si="53"/>
        <v>0</v>
      </c>
      <c r="S95" s="7">
        <f t="shared" si="53"/>
        <v>0</v>
      </c>
      <c r="T95" s="7">
        <f t="shared" si="53"/>
        <v>0</v>
      </c>
      <c r="U95" s="7">
        <f t="shared" si="53"/>
        <v>0</v>
      </c>
    </row>
    <row r="96" spans="1:21" x14ac:dyDescent="0.35">
      <c r="A96" s="7"/>
      <c r="B96" s="7"/>
      <c r="C96" s="7" t="s">
        <v>71</v>
      </c>
      <c r="D96" s="7"/>
      <c r="E96" s="7"/>
      <c r="F96" s="7"/>
      <c r="G96" s="7"/>
      <c r="H96" s="7"/>
      <c r="I96" s="7"/>
      <c r="J96" s="7"/>
      <c r="K96" s="7">
        <f>-K67</f>
        <v>0</v>
      </c>
      <c r="L96" s="7">
        <f>-L67</f>
        <v>4450000</v>
      </c>
      <c r="M96" s="7">
        <f t="shared" ref="M96:U96" si="54">-M67</f>
        <v>3568000</v>
      </c>
      <c r="N96" s="7">
        <f t="shared" si="54"/>
        <v>4338725.0000000037</v>
      </c>
      <c r="O96" s="7">
        <f t="shared" si="54"/>
        <v>4160332.950000003</v>
      </c>
      <c r="P96" s="7">
        <f t="shared" si="54"/>
        <v>6037050.2325000037</v>
      </c>
      <c r="Q96" s="7">
        <f t="shared" si="54"/>
        <v>6973452.2428550031</v>
      </c>
      <c r="R96" s="7">
        <f t="shared" si="54"/>
        <v>7974492.0734612532</v>
      </c>
      <c r="S96" s="7">
        <f t="shared" si="54"/>
        <v>9012171.8060879558</v>
      </c>
      <c r="T96" s="7">
        <f t="shared" si="54"/>
        <v>12540766.806453312</v>
      </c>
      <c r="U96" s="7">
        <f t="shared" si="54"/>
        <v>13383488.45684424</v>
      </c>
    </row>
    <row r="97" spans="1:21" x14ac:dyDescent="0.35">
      <c r="A97" s="7"/>
      <c r="B97" s="7"/>
      <c r="C97" s="7" t="s">
        <v>109</v>
      </c>
      <c r="D97" s="7"/>
      <c r="E97" s="7"/>
      <c r="F97" s="7"/>
      <c r="G97" s="7"/>
      <c r="H97" s="7"/>
      <c r="I97" s="7"/>
      <c r="J97" s="7"/>
      <c r="K97" s="7">
        <f>SUM(K95:K96)</f>
        <v>-30000000</v>
      </c>
      <c r="L97" s="7">
        <f t="shared" ref="L97:U97" si="55">SUM(L95:L96)</f>
        <v>4450000</v>
      </c>
      <c r="M97" s="7">
        <f t="shared" si="55"/>
        <v>3568000</v>
      </c>
      <c r="N97" s="7">
        <f t="shared" si="55"/>
        <v>4338725.0000000037</v>
      </c>
      <c r="O97" s="7">
        <f t="shared" si="55"/>
        <v>-4839667.049999997</v>
      </c>
      <c r="P97" s="7">
        <f t="shared" si="55"/>
        <v>6037050.2325000037</v>
      </c>
      <c r="Q97" s="7">
        <f t="shared" si="55"/>
        <v>6973452.2428550031</v>
      </c>
      <c r="R97" s="7">
        <f t="shared" si="55"/>
        <v>7974492.0734612532</v>
      </c>
      <c r="S97" s="7">
        <f t="shared" si="55"/>
        <v>9012171.8060879558</v>
      </c>
      <c r="T97" s="7">
        <f t="shared" si="55"/>
        <v>12540766.806453312</v>
      </c>
      <c r="U97" s="7">
        <f t="shared" si="55"/>
        <v>13383488.45684424</v>
      </c>
    </row>
    <row r="98" spans="1:21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x14ac:dyDescent="0.35">
      <c r="A99" s="7"/>
      <c r="B99" s="7"/>
      <c r="C99" s="7" t="s">
        <v>116</v>
      </c>
      <c r="D99" s="7"/>
      <c r="E99" s="7"/>
      <c r="F99" s="7"/>
      <c r="G99" s="7"/>
      <c r="H99" s="7"/>
      <c r="I99" s="7"/>
      <c r="J99" s="7"/>
      <c r="K99" s="45">
        <f>IRR(K97:U97)</f>
        <v>0.11919058546820738</v>
      </c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x14ac:dyDescent="0.3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1:21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</sheetData>
  <conditionalFormatting sqref="A1:XFD3">
    <cfRule type="expression" dxfId="0" priority="1">
      <formula>$J$52</formula>
    </cfRule>
  </conditionalFormatting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4713-3F0A-4518-A7BF-ED66FF4F8639}">
  <dimension ref="A1:E18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4.25" x14ac:dyDescent="0.45"/>
  <cols>
    <col min="1" max="1" width="4.33203125" customWidth="1"/>
    <col min="2" max="3" width="10.6640625" bestFit="1" customWidth="1"/>
  </cols>
  <sheetData>
    <row r="1" spans="1:4" s="52" customFormat="1" ht="25.5" x14ac:dyDescent="0.45">
      <c r="A1" s="51" t="s">
        <v>136</v>
      </c>
    </row>
    <row r="3" spans="1:4" ht="17.25" x14ac:dyDescent="0.85">
      <c r="A3" s="53" t="s">
        <v>110</v>
      </c>
      <c r="B3" s="53" t="s">
        <v>123</v>
      </c>
      <c r="C3" s="53" t="s">
        <v>122</v>
      </c>
      <c r="D3" s="53" t="s">
        <v>137</v>
      </c>
    </row>
    <row r="4" spans="1:4" x14ac:dyDescent="0.45">
      <c r="A4" cm="1">
        <f t="array" ref="A4:A18">_xlfn.SEQUENCE(15,,16)</f>
        <v>16</v>
      </c>
      <c r="B4" s="43">
        <f>Workings!N14</f>
        <v>29160000.000000004</v>
      </c>
      <c r="C4" s="43">
        <v>29160000.000000004</v>
      </c>
      <c r="D4" t="s">
        <v>111</v>
      </c>
    </row>
    <row r="5" spans="1:4" x14ac:dyDescent="0.45">
      <c r="A5">
        <v>17</v>
      </c>
      <c r="B5" s="43">
        <f>ROUND(Workings!T14,-3)</f>
        <v>45672000</v>
      </c>
      <c r="C5" s="43">
        <v>45672000</v>
      </c>
      <c r="D5" t="s">
        <v>112</v>
      </c>
    </row>
    <row r="6" spans="1:4" x14ac:dyDescent="0.45">
      <c r="A6">
        <v>18</v>
      </c>
      <c r="B6" s="43">
        <f>-ROUND(SUM(Workings!L16:U16),-3)</f>
        <v>216051000</v>
      </c>
      <c r="C6" s="43">
        <v>216051000</v>
      </c>
      <c r="D6" t="s">
        <v>113</v>
      </c>
    </row>
    <row r="7" spans="1:4" x14ac:dyDescent="0.45">
      <c r="A7">
        <v>19</v>
      </c>
      <c r="B7" s="44">
        <f>-Workings!R17/Workings!R14</f>
        <v>0.11348576230522019</v>
      </c>
      <c r="C7" s="44">
        <v>0.11348576230522019</v>
      </c>
      <c r="D7" t="s">
        <v>113</v>
      </c>
    </row>
    <row r="8" spans="1:4" x14ac:dyDescent="0.45">
      <c r="A8">
        <v>20</v>
      </c>
      <c r="B8" s="43">
        <f>SUM(Workings!L91:U91)</f>
        <v>5850000</v>
      </c>
      <c r="C8" s="43">
        <v>5850000</v>
      </c>
      <c r="D8" t="s">
        <v>112</v>
      </c>
    </row>
    <row r="9" spans="1:4" x14ac:dyDescent="0.45">
      <c r="A9">
        <v>21</v>
      </c>
      <c r="B9" s="43">
        <f>Workings!R37</f>
        <v>16000000</v>
      </c>
      <c r="C9" s="43">
        <v>16000000</v>
      </c>
      <c r="D9" t="s">
        <v>111</v>
      </c>
    </row>
    <row r="10" spans="1:4" x14ac:dyDescent="0.45">
      <c r="A10">
        <v>22</v>
      </c>
      <c r="B10" s="43">
        <f>ROUND(Workings!P36,-3)</f>
        <v>6122000</v>
      </c>
      <c r="C10" s="43">
        <v>6122000</v>
      </c>
      <c r="D10" t="s">
        <v>113</v>
      </c>
    </row>
    <row r="11" spans="1:4" x14ac:dyDescent="0.45">
      <c r="A11">
        <v>23</v>
      </c>
      <c r="B11" s="43">
        <f>ROUND(Workings!Q38,-3)</f>
        <v>36285000</v>
      </c>
      <c r="C11" s="43">
        <v>36285000</v>
      </c>
      <c r="D11" t="s">
        <v>114</v>
      </c>
    </row>
    <row r="12" spans="1:4" x14ac:dyDescent="0.45">
      <c r="A12">
        <v>24</v>
      </c>
      <c r="B12" s="43">
        <f>ROUND(Workings!O41,-3)</f>
        <v>2819000</v>
      </c>
      <c r="C12" s="43">
        <v>2819000</v>
      </c>
      <c r="D12" t="s">
        <v>115</v>
      </c>
    </row>
    <row r="13" spans="1:4" x14ac:dyDescent="0.45">
      <c r="A13">
        <v>25</v>
      </c>
      <c r="B13" s="43">
        <f>ROUND(Workings!T24,-3)</f>
        <v>7114000</v>
      </c>
      <c r="C13" s="43">
        <v>7114000</v>
      </c>
      <c r="D13" t="s">
        <v>112</v>
      </c>
    </row>
    <row r="14" spans="1:4" x14ac:dyDescent="0.45">
      <c r="A14">
        <v>26</v>
      </c>
      <c r="B14" s="43">
        <f>ROUND(Workings!O63,-3)</f>
        <v>4160000</v>
      </c>
      <c r="C14" s="43">
        <v>4160000</v>
      </c>
      <c r="D14" t="s">
        <v>115</v>
      </c>
    </row>
    <row r="15" spans="1:4" x14ac:dyDescent="0.45">
      <c r="A15">
        <v>27</v>
      </c>
      <c r="B15" s="43">
        <f>ROUND(SUM(Workings!K96:U96),-3)</f>
        <v>72438000</v>
      </c>
      <c r="C15" s="43">
        <v>72438000</v>
      </c>
      <c r="D15" t="s">
        <v>111</v>
      </c>
    </row>
    <row r="16" spans="1:4" x14ac:dyDescent="0.45">
      <c r="A16">
        <v>28</v>
      </c>
      <c r="B16" s="43">
        <f>ROUND(Workings!U50,-3)</f>
        <v>13296000</v>
      </c>
      <c r="C16" s="43">
        <v>13296000</v>
      </c>
      <c r="D16" t="s">
        <v>111</v>
      </c>
    </row>
    <row r="17" spans="1:5" x14ac:dyDescent="0.45">
      <c r="A17">
        <v>29</v>
      </c>
      <c r="B17" s="45">
        <f>Workings!$K$99</f>
        <v>0.11919058546820738</v>
      </c>
      <c r="C17" s="45">
        <v>0.11919058546820738</v>
      </c>
      <c r="D17" t="s">
        <v>117</v>
      </c>
    </row>
    <row r="18" spans="1:5" x14ac:dyDescent="0.45">
      <c r="A18">
        <v>30</v>
      </c>
      <c r="B18" s="45">
        <f>Assumptions!$J$17</f>
        <v>0.08</v>
      </c>
      <c r="C18" s="45">
        <v>8.6300000000000002E-2</v>
      </c>
      <c r="D18" t="s">
        <v>117</v>
      </c>
      <c r="E18" s="46" t="s">
        <v>121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  <outlinePr summaryBelow="0"/>
  </sheetPr>
  <dimension ref="A1:J49"/>
  <sheetViews>
    <sheetView showGridLines="0" zoomScaleNormal="100" zoomScalePageLayoutView="85" workbookViewId="0">
      <pane ySplit="3" topLeftCell="A4" activePane="bottomLeft" state="frozen"/>
      <selection pane="bottomLeft" activeCell="A4" sqref="A4"/>
    </sheetView>
  </sheetViews>
  <sheetFormatPr defaultColWidth="8.86328125" defaultRowHeight="12.75" x14ac:dyDescent="0.35"/>
  <cols>
    <col min="1" max="1" width="7.265625" style="3" customWidth="1"/>
    <col min="2" max="2" width="4.73046875" style="3" customWidth="1"/>
    <col min="3" max="3" width="3.73046875" style="16" customWidth="1"/>
    <col min="4" max="4" width="40.73046875" style="16" customWidth="1"/>
    <col min="5" max="6" width="12.73046875" style="3" customWidth="1"/>
    <col min="7" max="7" width="3.73046875" style="3" customWidth="1"/>
    <col min="8" max="8" width="10.73046875" style="17" customWidth="1"/>
    <col min="9" max="9" width="12.73046875" style="3" customWidth="1"/>
    <col min="10" max="10" width="15.73046875" style="3" customWidth="1"/>
    <col min="11" max="16384" width="8.86328125" style="3"/>
  </cols>
  <sheetData>
    <row r="1" spans="1:10" ht="22.5" x14ac:dyDescent="0.6">
      <c r="A1" s="22" t="s">
        <v>16</v>
      </c>
      <c r="B1" s="2"/>
      <c r="C1" s="2"/>
      <c r="D1" s="2"/>
      <c r="E1" s="2"/>
      <c r="F1" s="2"/>
      <c r="G1" s="2"/>
      <c r="H1" s="2"/>
      <c r="I1" s="2"/>
      <c r="J1" s="2"/>
    </row>
    <row r="2" spans="1:10" s="4" customFormat="1" ht="18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8" customHeight="1" x14ac:dyDescent="0.5">
      <c r="A3" s="5"/>
      <c r="B3" s="2"/>
      <c r="C3" s="6" t="s">
        <v>20</v>
      </c>
      <c r="D3" s="2"/>
      <c r="E3" s="2"/>
      <c r="F3" s="2"/>
      <c r="G3" s="2"/>
      <c r="H3" s="2"/>
      <c r="I3" s="2"/>
      <c r="J3" s="2"/>
    </row>
    <row r="4" spans="1:10" s="7" customFormat="1" ht="12" customHeight="1" x14ac:dyDescent="0.35">
      <c r="H4" s="8"/>
    </row>
    <row r="5" spans="1:10" s="7" customFormat="1" ht="12" customHeight="1" x14ac:dyDescent="0.35">
      <c r="H5" s="8"/>
    </row>
    <row r="6" spans="1:10" s="7" customFormat="1" ht="12" customHeight="1" x14ac:dyDescent="0.35">
      <c r="H6" s="8"/>
    </row>
    <row r="7" spans="1:10" s="7" customFormat="1" ht="12" customHeight="1" x14ac:dyDescent="0.35">
      <c r="H7" s="8"/>
    </row>
    <row r="8" spans="1:10" s="7" customFormat="1" ht="12" customHeight="1" x14ac:dyDescent="0.35">
      <c r="H8" s="8"/>
    </row>
    <row r="9" spans="1:10" s="7" customFormat="1" ht="12" customHeight="1" x14ac:dyDescent="0.35">
      <c r="H9" s="8"/>
    </row>
    <row r="10" spans="1:10" s="7" customFormat="1" ht="12" customHeight="1" x14ac:dyDescent="0.4">
      <c r="E10" s="10"/>
      <c r="H10" s="8"/>
    </row>
    <row r="11" spans="1:10" ht="12" customHeight="1" x14ac:dyDescent="0.4">
      <c r="A11" s="14"/>
      <c r="B11" s="14"/>
      <c r="C11" s="14" t="s">
        <v>21</v>
      </c>
      <c r="D11" s="14"/>
      <c r="E11" s="14"/>
      <c r="F11" s="14"/>
      <c r="G11" s="14"/>
      <c r="H11" s="14"/>
      <c r="I11" s="14"/>
      <c r="J11" s="14"/>
    </row>
    <row r="12" spans="1:10" ht="12" customHeight="1" x14ac:dyDescent="0.35">
      <c r="A12" s="32"/>
      <c r="B12" s="32"/>
      <c r="C12" s="32"/>
      <c r="D12" s="32"/>
      <c r="E12" s="32"/>
      <c r="F12" s="32"/>
      <c r="G12" s="32"/>
      <c r="H12" s="32"/>
      <c r="I12" s="32"/>
      <c r="J12" s="32"/>
    </row>
    <row r="13" spans="1:10" ht="12" customHeight="1" x14ac:dyDescent="0.4">
      <c r="A13" s="31"/>
      <c r="B13" s="31"/>
      <c r="C13" s="10"/>
      <c r="D13" s="31"/>
      <c r="E13" s="34"/>
      <c r="F13" s="31"/>
      <c r="G13" s="31"/>
      <c r="H13" s="31"/>
      <c r="I13" s="31"/>
      <c r="J13" s="31"/>
    </row>
    <row r="14" spans="1:10" ht="12" customHeight="1" x14ac:dyDescent="0.35">
      <c r="A14" s="31"/>
      <c r="B14" s="31"/>
      <c r="C14" s="31"/>
      <c r="D14" s="31" t="s">
        <v>22</v>
      </c>
      <c r="E14" s="34"/>
      <c r="F14" s="31"/>
      <c r="G14" s="31"/>
      <c r="H14" s="35"/>
      <c r="I14" s="30">
        <v>1000</v>
      </c>
      <c r="J14" s="31"/>
    </row>
    <row r="15" spans="1:10" ht="12" customHeight="1" x14ac:dyDescent="0.35">
      <c r="A15" s="31"/>
      <c r="B15" s="31"/>
      <c r="C15" s="31"/>
      <c r="D15" s="31"/>
      <c r="E15" s="34"/>
      <c r="F15" s="31"/>
      <c r="G15" s="31"/>
      <c r="H15" s="35"/>
      <c r="I15" s="31"/>
      <c r="J15" s="31"/>
    </row>
    <row r="16" spans="1:10" ht="12" customHeight="1" x14ac:dyDescent="0.35">
      <c r="A16" s="31"/>
      <c r="B16" s="31"/>
      <c r="C16" s="31"/>
      <c r="D16" s="31" t="s">
        <v>23</v>
      </c>
      <c r="E16" s="34"/>
      <c r="F16" s="31"/>
      <c r="G16" s="31"/>
      <c r="H16" s="35"/>
      <c r="I16" s="36">
        <v>1000</v>
      </c>
      <c r="J16" s="31"/>
    </row>
    <row r="17" spans="1:10" ht="12" customHeight="1" x14ac:dyDescent="0.35">
      <c r="A17" s="31"/>
      <c r="B17" s="31"/>
      <c r="C17" s="31"/>
      <c r="D17" s="31"/>
      <c r="E17" s="34"/>
      <c r="F17" s="31"/>
      <c r="G17" s="31"/>
      <c r="H17" s="31"/>
      <c r="I17" s="31"/>
      <c r="J17" s="31"/>
    </row>
    <row r="18" spans="1:10" ht="12" customHeight="1" x14ac:dyDescent="0.35">
      <c r="A18" s="31"/>
      <c r="B18" s="31"/>
      <c r="C18" s="31"/>
      <c r="D18" s="31" t="s">
        <v>24</v>
      </c>
      <c r="E18" s="34"/>
      <c r="F18" s="31"/>
      <c r="G18" s="31"/>
      <c r="H18" s="31"/>
      <c r="I18" s="19">
        <v>0.5</v>
      </c>
      <c r="J18" s="31"/>
    </row>
    <row r="19" spans="1:10" ht="12" customHeight="1" x14ac:dyDescent="0.35">
      <c r="A19" s="31"/>
      <c r="B19" s="31"/>
      <c r="C19" s="31"/>
      <c r="D19" s="31"/>
      <c r="E19" s="34"/>
      <c r="F19" s="31"/>
      <c r="G19" s="31"/>
      <c r="H19" s="31"/>
      <c r="I19" s="31"/>
      <c r="J19" s="31"/>
    </row>
    <row r="20" spans="1:10" ht="12" customHeight="1" x14ac:dyDescent="0.35">
      <c r="A20" s="31"/>
      <c r="B20" s="31"/>
      <c r="C20" s="31"/>
      <c r="D20" s="31" t="s">
        <v>25</v>
      </c>
      <c r="E20" s="34"/>
      <c r="F20" s="31"/>
      <c r="G20" s="31"/>
      <c r="H20" s="31"/>
      <c r="I20" s="37">
        <v>42369</v>
      </c>
      <c r="J20" s="31"/>
    </row>
    <row r="21" spans="1:10" ht="12" customHeight="1" x14ac:dyDescent="0.35">
      <c r="A21" s="31"/>
      <c r="B21" s="31"/>
      <c r="C21" s="31"/>
      <c r="D21" s="31"/>
      <c r="E21" s="34"/>
      <c r="F21" s="31"/>
      <c r="G21" s="31"/>
      <c r="H21" s="31"/>
      <c r="I21" s="31"/>
      <c r="J21" s="31"/>
    </row>
    <row r="22" spans="1:10" ht="12" customHeight="1" x14ac:dyDescent="0.35">
      <c r="A22" s="31"/>
      <c r="B22" s="31"/>
      <c r="C22" s="31"/>
      <c r="D22" s="31" t="s">
        <v>26</v>
      </c>
      <c r="E22" s="34"/>
      <c r="F22" s="31"/>
      <c r="G22" s="31"/>
      <c r="H22" s="31"/>
      <c r="I22" s="7">
        <v>1000</v>
      </c>
      <c r="J22" s="31"/>
    </row>
    <row r="23" spans="1:10" ht="12" customHeight="1" x14ac:dyDescent="0.35">
      <c r="A23" s="31"/>
      <c r="B23" s="31"/>
      <c r="C23" s="31"/>
      <c r="D23" s="31"/>
      <c r="E23" s="34"/>
      <c r="F23" s="31"/>
      <c r="G23" s="31"/>
      <c r="H23" s="31"/>
      <c r="I23" s="31"/>
      <c r="J23" s="31"/>
    </row>
    <row r="24" spans="1:10" ht="12" customHeight="1" x14ac:dyDescent="0.35">
      <c r="A24" s="31"/>
      <c r="B24" s="31"/>
      <c r="C24" s="31"/>
      <c r="D24" s="31" t="s">
        <v>38</v>
      </c>
      <c r="E24" s="34"/>
      <c r="F24" s="31"/>
      <c r="G24" s="31"/>
      <c r="H24" s="31"/>
      <c r="I24" s="7">
        <v>-1000</v>
      </c>
      <c r="J24" s="31"/>
    </row>
    <row r="25" spans="1:10" ht="12" customHeight="1" x14ac:dyDescent="0.35">
      <c r="A25" s="31"/>
      <c r="B25" s="31"/>
      <c r="C25" s="31"/>
      <c r="D25" s="31"/>
      <c r="E25" s="34"/>
      <c r="F25" s="31"/>
      <c r="G25" s="31"/>
      <c r="H25" s="31"/>
      <c r="I25" s="31"/>
      <c r="J25" s="31"/>
    </row>
    <row r="26" spans="1:10" ht="12" customHeight="1" x14ac:dyDescent="0.35">
      <c r="A26" s="31"/>
      <c r="B26" s="31"/>
      <c r="C26" s="31"/>
      <c r="D26" s="31" t="s">
        <v>27</v>
      </c>
      <c r="E26" s="34"/>
      <c r="F26" s="31"/>
      <c r="G26" s="31"/>
      <c r="H26" s="31"/>
      <c r="I26" s="31">
        <v>1000</v>
      </c>
      <c r="J26" s="31"/>
    </row>
    <row r="27" spans="1:10" ht="12" customHeight="1" x14ac:dyDescent="0.35">
      <c r="A27" s="31"/>
      <c r="B27" s="31"/>
      <c r="C27" s="31"/>
      <c r="D27" s="31"/>
      <c r="E27" s="34"/>
      <c r="F27" s="31"/>
      <c r="G27" s="31"/>
      <c r="H27" s="31"/>
      <c r="I27" s="31"/>
      <c r="J27" s="31"/>
    </row>
    <row r="28" spans="1:10" ht="12" customHeight="1" x14ac:dyDescent="0.35">
      <c r="A28" s="31"/>
      <c r="B28" s="31"/>
      <c r="C28" s="31"/>
      <c r="D28" s="31" t="s">
        <v>28</v>
      </c>
      <c r="E28" s="34"/>
      <c r="F28" s="31"/>
      <c r="G28" s="31"/>
      <c r="H28" s="31"/>
      <c r="I28" s="23">
        <v>0.5</v>
      </c>
      <c r="J28" s="31"/>
    </row>
    <row r="29" spans="1:10" ht="12" customHeight="1" x14ac:dyDescent="0.35">
      <c r="A29" s="31"/>
      <c r="B29" s="31"/>
      <c r="C29" s="31"/>
      <c r="D29" s="31"/>
      <c r="E29" s="34"/>
      <c r="F29" s="31"/>
      <c r="G29" s="31"/>
      <c r="H29" s="31"/>
      <c r="I29" s="31"/>
      <c r="J29" s="31"/>
    </row>
    <row r="30" spans="1:10" ht="12" customHeight="1" x14ac:dyDescent="0.35">
      <c r="A30" s="31"/>
      <c r="B30" s="31"/>
      <c r="C30" s="31"/>
      <c r="D30" s="31" t="s">
        <v>76</v>
      </c>
      <c r="E30" s="34"/>
      <c r="F30" s="31"/>
      <c r="G30" s="31"/>
      <c r="H30" s="31"/>
      <c r="I30" s="33">
        <v>0</v>
      </c>
      <c r="J30" s="31"/>
    </row>
    <row r="31" spans="1:10" ht="12" customHeight="1" x14ac:dyDescent="0.35">
      <c r="A31" s="31"/>
      <c r="B31" s="31"/>
      <c r="C31" s="31"/>
      <c r="D31" s="31"/>
      <c r="E31" s="34"/>
      <c r="F31" s="31"/>
      <c r="G31" s="31"/>
      <c r="H31" s="31"/>
      <c r="I31" s="31"/>
      <c r="J31" s="31"/>
    </row>
    <row r="32" spans="1:10" ht="12" customHeight="1" x14ac:dyDescent="0.35">
      <c r="A32" s="31"/>
      <c r="B32" s="31"/>
      <c r="C32" s="31"/>
      <c r="D32" s="31" t="s">
        <v>29</v>
      </c>
      <c r="E32" s="34"/>
      <c r="F32" s="31"/>
      <c r="G32" s="31"/>
      <c r="H32" s="31"/>
      <c r="I32" s="11">
        <v>42369</v>
      </c>
      <c r="J32" s="31"/>
    </row>
    <row r="33" spans="1:10" ht="12" customHeight="1" x14ac:dyDescent="0.35">
      <c r="A33" s="31"/>
      <c r="B33" s="31"/>
      <c r="C33" s="31"/>
      <c r="D33" s="31"/>
      <c r="E33" s="34"/>
      <c r="F33" s="31"/>
      <c r="G33" s="31"/>
      <c r="H33" s="31"/>
      <c r="I33" s="31"/>
      <c r="J33" s="31"/>
    </row>
    <row r="34" spans="1:10" ht="12" customHeight="1" x14ac:dyDescent="0.35">
      <c r="A34" s="31"/>
      <c r="B34" s="31"/>
      <c r="C34" s="31"/>
      <c r="D34" s="31" t="s">
        <v>36</v>
      </c>
      <c r="E34" s="34"/>
      <c r="F34" s="31"/>
      <c r="G34" s="31"/>
      <c r="H34" s="31"/>
      <c r="I34" s="24" t="s">
        <v>37</v>
      </c>
      <c r="J34" s="31"/>
    </row>
    <row r="35" spans="1:10" ht="12" customHeight="1" x14ac:dyDescent="0.35">
      <c r="A35" s="31"/>
      <c r="B35" s="31"/>
      <c r="C35" s="31"/>
      <c r="D35" s="31"/>
      <c r="E35" s="34"/>
      <c r="F35" s="31"/>
      <c r="G35" s="31"/>
      <c r="H35" s="31"/>
      <c r="I35" s="31"/>
      <c r="J35" s="31"/>
    </row>
    <row r="36" spans="1:10" ht="12" customHeight="1" x14ac:dyDescent="0.35">
      <c r="A36" s="31"/>
      <c r="B36" s="31"/>
      <c r="C36" s="31"/>
      <c r="D36" s="31" t="s">
        <v>30</v>
      </c>
      <c r="E36" s="34"/>
      <c r="F36" s="31"/>
      <c r="G36" s="31"/>
      <c r="H36" s="31"/>
      <c r="I36" s="35" t="s">
        <v>17</v>
      </c>
      <c r="J36" s="31"/>
    </row>
    <row r="37" spans="1:10" ht="12" customHeight="1" x14ac:dyDescent="0.35">
      <c r="A37" s="31"/>
      <c r="B37" s="31"/>
      <c r="C37" s="31"/>
      <c r="D37" s="31"/>
      <c r="E37" s="34"/>
      <c r="F37" s="31"/>
      <c r="G37" s="31"/>
      <c r="H37" s="31"/>
      <c r="I37" s="31"/>
      <c r="J37" s="31"/>
    </row>
    <row r="38" spans="1:10" ht="12" customHeight="1" x14ac:dyDescent="0.35">
      <c r="A38" s="31"/>
      <c r="B38" s="31"/>
      <c r="C38" s="31"/>
      <c r="D38" s="31" t="s">
        <v>31</v>
      </c>
      <c r="E38" s="34"/>
      <c r="F38" s="31"/>
      <c r="G38" s="31"/>
      <c r="H38" s="31"/>
      <c r="I38" s="21">
        <v>1000</v>
      </c>
      <c r="J38" s="31"/>
    </row>
    <row r="39" spans="1:10" ht="12" customHeight="1" x14ac:dyDescent="0.35">
      <c r="A39" s="31"/>
      <c r="B39" s="31"/>
      <c r="C39" s="31"/>
      <c r="D39" s="31"/>
      <c r="E39" s="34"/>
      <c r="F39" s="31"/>
      <c r="G39" s="31"/>
      <c r="H39" s="31"/>
      <c r="I39" s="31"/>
      <c r="J39" s="31"/>
    </row>
    <row r="40" spans="1:10" ht="12" customHeight="1" x14ac:dyDescent="0.4">
      <c r="A40" s="31"/>
      <c r="B40" s="31"/>
      <c r="C40" s="31"/>
      <c r="D40" s="31" t="s">
        <v>32</v>
      </c>
      <c r="E40" s="34"/>
      <c r="F40" s="31"/>
      <c r="G40" s="31"/>
      <c r="H40" s="31"/>
      <c r="I40" s="10" t="s">
        <v>33</v>
      </c>
      <c r="J40" s="31"/>
    </row>
    <row r="41" spans="1:10" ht="12" customHeight="1" x14ac:dyDescent="0.35">
      <c r="A41" s="31"/>
      <c r="B41" s="31"/>
      <c r="C41" s="31"/>
      <c r="D41" s="31"/>
      <c r="E41" s="34"/>
      <c r="F41" s="31"/>
      <c r="G41" s="31"/>
      <c r="H41" s="31"/>
      <c r="I41" s="31"/>
      <c r="J41" s="31"/>
    </row>
    <row r="42" spans="1:10" ht="12" customHeight="1" x14ac:dyDescent="0.35">
      <c r="A42" s="31"/>
      <c r="B42" s="31"/>
      <c r="C42" s="31"/>
      <c r="D42" s="31" t="s">
        <v>11</v>
      </c>
      <c r="E42" s="34"/>
      <c r="F42" s="31"/>
      <c r="G42" s="31"/>
      <c r="H42" s="31"/>
      <c r="I42" s="25">
        <v>1000</v>
      </c>
      <c r="J42" s="31"/>
    </row>
    <row r="43" spans="1:10" ht="12" customHeight="1" x14ac:dyDescent="0.35">
      <c r="A43" s="31"/>
      <c r="B43" s="31"/>
      <c r="C43" s="31"/>
      <c r="D43" s="31"/>
      <c r="E43" s="34"/>
      <c r="F43" s="31"/>
      <c r="G43" s="31"/>
      <c r="H43" s="31"/>
      <c r="I43" s="31"/>
      <c r="J43" s="31"/>
    </row>
    <row r="44" spans="1:10" ht="12" customHeight="1" x14ac:dyDescent="0.4">
      <c r="A44" s="31"/>
      <c r="B44" s="31"/>
      <c r="C44" s="31"/>
      <c r="D44" s="31" t="s">
        <v>34</v>
      </c>
      <c r="E44" s="34"/>
      <c r="F44" s="31"/>
      <c r="G44" s="31"/>
      <c r="H44" s="31"/>
      <c r="I44" s="1" t="s">
        <v>33</v>
      </c>
      <c r="J44" s="31"/>
    </row>
    <row r="45" spans="1:10" ht="12" customHeight="1" x14ac:dyDescent="0.35">
      <c r="A45" s="31"/>
      <c r="B45" s="31"/>
      <c r="C45" s="31"/>
      <c r="D45" s="31"/>
      <c r="E45" s="34"/>
      <c r="F45" s="31"/>
      <c r="G45" s="31"/>
      <c r="H45" s="31"/>
      <c r="I45" s="31"/>
      <c r="J45" s="31"/>
    </row>
    <row r="46" spans="1:10" ht="12" customHeight="1" x14ac:dyDescent="0.4">
      <c r="A46" s="31"/>
      <c r="B46" s="31"/>
      <c r="C46" s="31"/>
      <c r="D46" s="31" t="s">
        <v>35</v>
      </c>
      <c r="E46" s="34"/>
      <c r="F46" s="31"/>
      <c r="G46" s="31"/>
      <c r="H46" s="31"/>
      <c r="I46" s="14" t="s">
        <v>33</v>
      </c>
      <c r="J46" s="31"/>
    </row>
    <row r="47" spans="1:10" ht="12" customHeight="1" x14ac:dyDescent="0.35">
      <c r="A47" s="31"/>
      <c r="B47" s="31"/>
      <c r="C47" s="31"/>
      <c r="D47" s="31"/>
      <c r="E47" s="31"/>
      <c r="F47" s="31"/>
      <c r="G47" s="31"/>
      <c r="H47" s="31"/>
      <c r="I47" s="31"/>
      <c r="J47" s="31"/>
    </row>
    <row r="48" spans="1:10" ht="12" customHeight="1" x14ac:dyDescent="0.4">
      <c r="A48" s="14"/>
      <c r="B48" s="14"/>
      <c r="C48" s="14" t="s">
        <v>2</v>
      </c>
      <c r="D48" s="14"/>
      <c r="E48" s="14"/>
      <c r="F48" s="14"/>
      <c r="G48" s="14"/>
      <c r="H48" s="14"/>
      <c r="I48" s="14"/>
      <c r="J48" s="14"/>
    </row>
    <row r="49" ht="12" customHeight="1" x14ac:dyDescent="0.35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Assumptions</vt:lpstr>
      <vt:lpstr>Workings</vt:lpstr>
      <vt:lpstr>Q&amp;A</vt:lpstr>
      <vt:lpstr>Formats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Diarmuid Early</cp:lastModifiedBy>
  <dcterms:created xsi:type="dcterms:W3CDTF">2015-10-14T05:12:28Z</dcterms:created>
  <dcterms:modified xsi:type="dcterms:W3CDTF">2023-04-06T12:58:14Z</dcterms:modified>
</cp:coreProperties>
</file>